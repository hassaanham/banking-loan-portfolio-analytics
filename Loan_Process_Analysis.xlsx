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From OneDrive\Desktop\Job Hunting 2026\Project 1\"/>
    </mc:Choice>
  </mc:AlternateContent>
  <xr:revisionPtr revIDLastSave="0" documentId="13_ncr:1_{FEA5881A-7E7E-4E31-8865-558C689F4FE7}" xr6:coauthVersionLast="47" xr6:coauthVersionMax="47" xr10:uidLastSave="{00000000-0000-0000-0000-000000000000}"/>
  <bookViews>
    <workbookView xWindow="-98" yWindow="-98" windowWidth="21795" windowHeight="12975" firstSheet="5" activeTab="11" xr2:uid="{00000000-000D-0000-FFFF-FFFF00000000}"/>
  </bookViews>
  <sheets>
    <sheet name="Cleaning_Practice" sheetId="7" r:id="rId1"/>
    <sheet name="Gap_Analysis" sheetId="8" r:id="rId2"/>
    <sheet name="Summary" sheetId="1" r:id="rId3"/>
    <sheet name="Applications" sheetId="2" r:id="rId4"/>
    <sheet name="Raw" sheetId="3" r:id="rId5"/>
    <sheet name="Dictionary" sheetId="4" r:id="rId6"/>
    <sheet name="Practice" sheetId="5" r:id="rId7"/>
    <sheet name="Requirements" sheetId="6" r:id="rId8"/>
    <sheet name="UAT_Plan" sheetId="9" r:id="rId9"/>
    <sheet name="Traceability" sheetId="10" r:id="rId10"/>
    <sheet name="Proposed_Process" sheetId="11" r:id="rId11"/>
    <sheet name="KPI_Plan"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7" l="1"/>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B25" i="5"/>
  <c r="B26" i="5"/>
  <c r="B27" i="5"/>
  <c r="B28" i="5"/>
  <c r="B29" i="5" s="1"/>
  <c r="B24" i="5"/>
  <c r="C20" i="5"/>
  <c r="C19" i="5"/>
  <c r="B20" i="5"/>
  <c r="B22" i="5" s="1"/>
  <c r="B19" i="5"/>
  <c r="C13" i="5"/>
  <c r="C14" i="5"/>
  <c r="C15" i="5"/>
  <c r="C12" i="5"/>
  <c r="B13" i="5"/>
  <c r="B14" i="5"/>
  <c r="B15" i="5"/>
  <c r="B12" i="5"/>
  <c r="D6" i="5"/>
  <c r="A9" i="5" s="1"/>
  <c r="C6" i="5"/>
  <c r="B6" i="5"/>
  <c r="A6" i="5"/>
  <c r="D2" i="5"/>
  <c r="C2" i="5"/>
  <c r="B2" i="5"/>
  <c r="A2" i="5"/>
  <c r="E2" i="5" s="1"/>
  <c r="S604" i="2"/>
  <c r="Q604" i="2"/>
  <c r="L604" i="2"/>
  <c r="S603" i="2"/>
  <c r="R603" i="2"/>
  <c r="Q603" i="2"/>
  <c r="P603" i="2"/>
  <c r="O603" i="2"/>
  <c r="M603" i="2"/>
  <c r="L603" i="2"/>
  <c r="N603" i="2" s="1"/>
  <c r="S602" i="2"/>
  <c r="Q602" i="2"/>
  <c r="L602" i="2"/>
  <c r="S601" i="2"/>
  <c r="Q601" i="2"/>
  <c r="M601" i="2"/>
  <c r="L601" i="2"/>
  <c r="S600" i="2"/>
  <c r="Q600" i="2"/>
  <c r="P600" i="2"/>
  <c r="O600" i="2"/>
  <c r="M600" i="2"/>
  <c r="R600" i="2" s="1"/>
  <c r="L600" i="2"/>
  <c r="N600" i="2" s="1"/>
  <c r="S599" i="2"/>
  <c r="Q599" i="2"/>
  <c r="O599" i="2"/>
  <c r="N599" i="2"/>
  <c r="L599" i="2"/>
  <c r="S598" i="2"/>
  <c r="Q598" i="2"/>
  <c r="P598" i="2"/>
  <c r="O598" i="2"/>
  <c r="L598" i="2"/>
  <c r="S597" i="2"/>
  <c r="Q597" i="2"/>
  <c r="M597" i="2"/>
  <c r="L597" i="2"/>
  <c r="S596" i="2"/>
  <c r="Q596" i="2"/>
  <c r="L596" i="2"/>
  <c r="S595" i="2"/>
  <c r="Q595" i="2"/>
  <c r="L595" i="2"/>
  <c r="S594" i="2"/>
  <c r="Q594" i="2"/>
  <c r="L594" i="2"/>
  <c r="S593" i="2"/>
  <c r="Q593" i="2"/>
  <c r="L593" i="2"/>
  <c r="S592" i="2"/>
  <c r="Q592" i="2"/>
  <c r="M592" i="2"/>
  <c r="L592" i="2"/>
  <c r="S591" i="2"/>
  <c r="R591" i="2"/>
  <c r="Q591" i="2"/>
  <c r="P591" i="2"/>
  <c r="O591" i="2"/>
  <c r="M591" i="2"/>
  <c r="L591" i="2"/>
  <c r="N591" i="2" s="1"/>
  <c r="S590" i="2"/>
  <c r="Q590" i="2"/>
  <c r="O590" i="2"/>
  <c r="N590" i="2"/>
  <c r="L590" i="2"/>
  <c r="S589" i="2"/>
  <c r="Q589" i="2"/>
  <c r="P589" i="2"/>
  <c r="O589" i="2"/>
  <c r="L589" i="2"/>
  <c r="S588" i="2"/>
  <c r="Q588" i="2"/>
  <c r="L588" i="2"/>
  <c r="S587" i="2"/>
  <c r="Q587" i="2"/>
  <c r="L587" i="2"/>
  <c r="S586" i="2"/>
  <c r="Q586" i="2"/>
  <c r="L586" i="2"/>
  <c r="S585" i="2"/>
  <c r="Q585" i="2"/>
  <c r="L585" i="2"/>
  <c r="S584" i="2"/>
  <c r="Q584" i="2"/>
  <c r="P584" i="2"/>
  <c r="O584" i="2"/>
  <c r="N584" i="2"/>
  <c r="M584" i="2"/>
  <c r="L584" i="2"/>
  <c r="S583" i="2"/>
  <c r="Q583" i="2"/>
  <c r="L583" i="2"/>
  <c r="S582" i="2"/>
  <c r="R582" i="2"/>
  <c r="Q582" i="2"/>
  <c r="P582" i="2"/>
  <c r="L582" i="2"/>
  <c r="S581" i="2"/>
  <c r="Q581" i="2"/>
  <c r="N581" i="2"/>
  <c r="M581" i="2"/>
  <c r="L581" i="2"/>
  <c r="S580" i="2"/>
  <c r="Q580" i="2"/>
  <c r="L580" i="2"/>
  <c r="S579" i="2"/>
  <c r="Q579" i="2"/>
  <c r="P579" i="2"/>
  <c r="O579" i="2"/>
  <c r="N579" i="2"/>
  <c r="L579" i="2"/>
  <c r="M579" i="2" s="1"/>
  <c r="R579" i="2" s="1"/>
  <c r="S578" i="2"/>
  <c r="Q578" i="2"/>
  <c r="L578" i="2"/>
  <c r="S577" i="2"/>
  <c r="Q577" i="2"/>
  <c r="L577" i="2"/>
  <c r="S576" i="2"/>
  <c r="Q576" i="2"/>
  <c r="O576" i="2"/>
  <c r="N576" i="2"/>
  <c r="M576" i="2"/>
  <c r="R576" i="2" s="1"/>
  <c r="L576" i="2"/>
  <c r="P576" i="2" s="1"/>
  <c r="S575" i="2"/>
  <c r="Q575" i="2"/>
  <c r="L575" i="2"/>
  <c r="S574" i="2"/>
  <c r="Q574" i="2"/>
  <c r="P574" i="2"/>
  <c r="O574" i="2"/>
  <c r="L574" i="2"/>
  <c r="N574" i="2" s="1"/>
  <c r="S573" i="2"/>
  <c r="Q573" i="2"/>
  <c r="P573" i="2"/>
  <c r="O573" i="2"/>
  <c r="N573" i="2"/>
  <c r="M573" i="2"/>
  <c r="L573" i="2"/>
  <c r="R573" i="2" s="1"/>
  <c r="S572" i="2"/>
  <c r="Q572" i="2"/>
  <c r="L572" i="2"/>
  <c r="S571" i="2"/>
  <c r="Q571" i="2"/>
  <c r="O571" i="2"/>
  <c r="L571" i="2"/>
  <c r="S570" i="2"/>
  <c r="Q570" i="2"/>
  <c r="P570" i="2"/>
  <c r="O570" i="2"/>
  <c r="N570" i="2"/>
  <c r="M570" i="2"/>
  <c r="L570" i="2"/>
  <c r="S569" i="2"/>
  <c r="Q569" i="2"/>
  <c r="P569" i="2"/>
  <c r="O569" i="2"/>
  <c r="L569" i="2"/>
  <c r="S568" i="2"/>
  <c r="R568" i="2"/>
  <c r="Q568" i="2"/>
  <c r="P568" i="2"/>
  <c r="O568" i="2"/>
  <c r="M568" i="2"/>
  <c r="L568" i="2"/>
  <c r="N568" i="2" s="1"/>
  <c r="S567" i="2"/>
  <c r="Q567" i="2"/>
  <c r="N567" i="2"/>
  <c r="M567" i="2"/>
  <c r="R567" i="2" s="1"/>
  <c r="L567" i="2"/>
  <c r="S566" i="2"/>
  <c r="Q566" i="2"/>
  <c r="P566" i="2"/>
  <c r="O566" i="2"/>
  <c r="N566" i="2"/>
  <c r="M566" i="2"/>
  <c r="L566" i="2"/>
  <c r="S565" i="2"/>
  <c r="Q565" i="2"/>
  <c r="P565" i="2"/>
  <c r="O565" i="2"/>
  <c r="L565" i="2"/>
  <c r="S564" i="2"/>
  <c r="Q564" i="2"/>
  <c r="P564" i="2"/>
  <c r="L564" i="2"/>
  <c r="S563" i="2"/>
  <c r="Q563" i="2"/>
  <c r="N563" i="2"/>
  <c r="L563" i="2"/>
  <c r="S562" i="2"/>
  <c r="Q562" i="2"/>
  <c r="O562" i="2"/>
  <c r="M562" i="2"/>
  <c r="L562" i="2"/>
  <c r="S561" i="2"/>
  <c r="R561" i="2"/>
  <c r="Q561" i="2"/>
  <c r="P561" i="2"/>
  <c r="O561" i="2"/>
  <c r="N561" i="2"/>
  <c r="L561" i="2"/>
  <c r="M561" i="2" s="1"/>
  <c r="S560" i="2"/>
  <c r="Q560" i="2"/>
  <c r="L560" i="2"/>
  <c r="S559" i="2"/>
  <c r="R559" i="2"/>
  <c r="Q559" i="2"/>
  <c r="L559" i="2"/>
  <c r="S558" i="2"/>
  <c r="Q558" i="2"/>
  <c r="M558" i="2"/>
  <c r="R558" i="2" s="1"/>
  <c r="L558" i="2"/>
  <c r="S557" i="2"/>
  <c r="Q557" i="2"/>
  <c r="O557" i="2"/>
  <c r="M557" i="2"/>
  <c r="L557" i="2"/>
  <c r="S556" i="2"/>
  <c r="Q556" i="2"/>
  <c r="P556" i="2"/>
  <c r="O556" i="2"/>
  <c r="L556" i="2"/>
  <c r="N556" i="2" s="1"/>
  <c r="S555" i="2"/>
  <c r="Q555" i="2"/>
  <c r="L555" i="2"/>
  <c r="S554" i="2"/>
  <c r="Q554" i="2"/>
  <c r="M554" i="2"/>
  <c r="L554" i="2"/>
  <c r="S553" i="2"/>
  <c r="Q553" i="2"/>
  <c r="L553" i="2"/>
  <c r="S552" i="2"/>
  <c r="Q552" i="2"/>
  <c r="O552" i="2"/>
  <c r="N552" i="2"/>
  <c r="M552" i="2"/>
  <c r="L552" i="2"/>
  <c r="S551" i="2"/>
  <c r="Q551" i="2"/>
  <c r="P551" i="2"/>
  <c r="O551" i="2"/>
  <c r="L551" i="2"/>
  <c r="S550" i="2"/>
  <c r="Q550" i="2"/>
  <c r="L550" i="2"/>
  <c r="S549" i="2"/>
  <c r="Q549" i="2"/>
  <c r="M549" i="2"/>
  <c r="L549" i="2"/>
  <c r="S548" i="2"/>
  <c r="Q548" i="2"/>
  <c r="P548" i="2"/>
  <c r="O548" i="2"/>
  <c r="N548" i="2"/>
  <c r="M548" i="2"/>
  <c r="L548" i="2"/>
  <c r="S547" i="2"/>
  <c r="Q547" i="2"/>
  <c r="P547" i="2"/>
  <c r="O547" i="2"/>
  <c r="M547" i="2"/>
  <c r="L547" i="2"/>
  <c r="S546" i="2"/>
  <c r="Q546" i="2"/>
  <c r="L546" i="2"/>
  <c r="S545" i="2"/>
  <c r="Q545" i="2"/>
  <c r="P545" i="2"/>
  <c r="O545" i="2"/>
  <c r="N545" i="2"/>
  <c r="M545" i="2"/>
  <c r="L545" i="2"/>
  <c r="S544" i="2"/>
  <c r="Q544" i="2"/>
  <c r="L544" i="2"/>
  <c r="S543" i="2"/>
  <c r="R543" i="2"/>
  <c r="Q543" i="2"/>
  <c r="P543" i="2"/>
  <c r="O543" i="2"/>
  <c r="N543" i="2"/>
  <c r="L543" i="2"/>
  <c r="M543" i="2" s="1"/>
  <c r="S542" i="2"/>
  <c r="Q542" i="2"/>
  <c r="P542" i="2"/>
  <c r="O542" i="2"/>
  <c r="N542" i="2"/>
  <c r="M542" i="2"/>
  <c r="L542" i="2"/>
  <c r="S541" i="2"/>
  <c r="Q541" i="2"/>
  <c r="L541" i="2"/>
  <c r="S540" i="2"/>
  <c r="Q540" i="2"/>
  <c r="P540" i="2"/>
  <c r="O540" i="2"/>
  <c r="N540" i="2"/>
  <c r="M540" i="2"/>
  <c r="L540" i="2"/>
  <c r="R540" i="2" s="1"/>
  <c r="S539" i="2"/>
  <c r="Q539" i="2"/>
  <c r="O539" i="2"/>
  <c r="N539" i="2"/>
  <c r="L539" i="2"/>
  <c r="S538" i="2"/>
  <c r="Q538" i="2"/>
  <c r="P538" i="2"/>
  <c r="O538" i="2"/>
  <c r="L538" i="2"/>
  <c r="N538" i="2" s="1"/>
  <c r="S537" i="2"/>
  <c r="Q537" i="2"/>
  <c r="P537" i="2"/>
  <c r="M537" i="2"/>
  <c r="L537" i="2"/>
  <c r="S536" i="2"/>
  <c r="Q536" i="2"/>
  <c r="M536" i="2"/>
  <c r="L536" i="2"/>
  <c r="S535" i="2"/>
  <c r="Q535" i="2"/>
  <c r="L535" i="2"/>
  <c r="S534" i="2"/>
  <c r="Q534" i="2"/>
  <c r="P534" i="2"/>
  <c r="O534" i="2"/>
  <c r="M534" i="2"/>
  <c r="L534" i="2"/>
  <c r="S533" i="2"/>
  <c r="Q533" i="2"/>
  <c r="P533" i="2"/>
  <c r="O533" i="2"/>
  <c r="L533" i="2"/>
  <c r="S532" i="2"/>
  <c r="Q532" i="2"/>
  <c r="P532" i="2"/>
  <c r="L532" i="2"/>
  <c r="S531" i="2"/>
  <c r="Q531" i="2"/>
  <c r="M531" i="2"/>
  <c r="L531" i="2"/>
  <c r="S530" i="2"/>
  <c r="Q530" i="2"/>
  <c r="P530" i="2"/>
  <c r="O530" i="2"/>
  <c r="N530" i="2"/>
  <c r="M530" i="2"/>
  <c r="L530" i="2"/>
  <c r="R530" i="2" s="1"/>
  <c r="S529" i="2"/>
  <c r="Q529" i="2"/>
  <c r="O529" i="2"/>
  <c r="M529" i="2"/>
  <c r="L529" i="2"/>
  <c r="S528" i="2"/>
  <c r="Q528" i="2"/>
  <c r="P528" i="2"/>
  <c r="L528" i="2"/>
  <c r="S527" i="2"/>
  <c r="Q527" i="2"/>
  <c r="M527" i="2"/>
  <c r="L527" i="2"/>
  <c r="S526" i="2"/>
  <c r="Q526" i="2"/>
  <c r="L526" i="2"/>
  <c r="S525" i="2"/>
  <c r="R525" i="2"/>
  <c r="Q525" i="2"/>
  <c r="P525" i="2"/>
  <c r="O525" i="2"/>
  <c r="N525" i="2"/>
  <c r="L525" i="2"/>
  <c r="M525" i="2" s="1"/>
  <c r="S524" i="2"/>
  <c r="Q524" i="2"/>
  <c r="O524" i="2"/>
  <c r="M524" i="2"/>
  <c r="L524" i="2"/>
  <c r="S523" i="2"/>
  <c r="Q523" i="2"/>
  <c r="L523" i="2"/>
  <c r="S522" i="2"/>
  <c r="Q522" i="2"/>
  <c r="O522" i="2"/>
  <c r="N522" i="2"/>
  <c r="M522" i="2"/>
  <c r="L522" i="2"/>
  <c r="P522" i="2" s="1"/>
  <c r="S521" i="2"/>
  <c r="Q521" i="2"/>
  <c r="L521" i="2"/>
  <c r="S520" i="2"/>
  <c r="Q520" i="2"/>
  <c r="P520" i="2"/>
  <c r="O520" i="2"/>
  <c r="L520" i="2"/>
  <c r="N520" i="2" s="1"/>
  <c r="S519" i="2"/>
  <c r="Q519" i="2"/>
  <c r="P519" i="2"/>
  <c r="O519" i="2"/>
  <c r="N519" i="2"/>
  <c r="M519" i="2"/>
  <c r="L519" i="2"/>
  <c r="R519" i="2" s="1"/>
  <c r="S518" i="2"/>
  <c r="Q518" i="2"/>
  <c r="M518" i="2"/>
  <c r="L518" i="2"/>
  <c r="S517" i="2"/>
  <c r="Q517" i="2"/>
  <c r="P517" i="2"/>
  <c r="O517" i="2"/>
  <c r="L517" i="2"/>
  <c r="S516" i="2"/>
  <c r="Q516" i="2"/>
  <c r="P516" i="2"/>
  <c r="O516" i="2"/>
  <c r="N516" i="2"/>
  <c r="M516" i="2"/>
  <c r="L516" i="2"/>
  <c r="S515" i="2"/>
  <c r="Q515" i="2"/>
  <c r="P515" i="2"/>
  <c r="O515" i="2"/>
  <c r="L515" i="2"/>
  <c r="S514" i="2"/>
  <c r="R514" i="2"/>
  <c r="Q514" i="2"/>
  <c r="P514" i="2"/>
  <c r="O514" i="2"/>
  <c r="M514" i="2"/>
  <c r="L514" i="2"/>
  <c r="N514" i="2" s="1"/>
  <c r="S513" i="2"/>
  <c r="R513" i="2"/>
  <c r="Q513" i="2"/>
  <c r="N513" i="2"/>
  <c r="M513" i="2"/>
  <c r="L513" i="2"/>
  <c r="S512" i="2"/>
  <c r="Q512" i="2"/>
  <c r="P512" i="2"/>
  <c r="O512" i="2"/>
  <c r="N512" i="2"/>
  <c r="M512" i="2"/>
  <c r="L512" i="2"/>
  <c r="S511" i="2"/>
  <c r="Q511" i="2"/>
  <c r="L511" i="2"/>
  <c r="S510" i="2"/>
  <c r="Q510" i="2"/>
  <c r="P510" i="2"/>
  <c r="L510" i="2"/>
  <c r="S509" i="2"/>
  <c r="Q509" i="2"/>
  <c r="N509" i="2"/>
  <c r="L509" i="2"/>
  <c r="S508" i="2"/>
  <c r="Q508" i="2"/>
  <c r="O508" i="2"/>
  <c r="M508" i="2"/>
  <c r="L508" i="2"/>
  <c r="S507" i="2"/>
  <c r="Q507" i="2"/>
  <c r="P507" i="2"/>
  <c r="O507" i="2"/>
  <c r="N507" i="2"/>
  <c r="L507" i="2"/>
  <c r="M507" i="2" s="1"/>
  <c r="R507" i="2" s="1"/>
  <c r="S506" i="2"/>
  <c r="Q506" i="2"/>
  <c r="L506" i="2"/>
  <c r="S505" i="2"/>
  <c r="Q505" i="2"/>
  <c r="L505" i="2"/>
  <c r="S504" i="2"/>
  <c r="R504" i="2"/>
  <c r="Q504" i="2"/>
  <c r="N504" i="2"/>
  <c r="M504" i="2"/>
  <c r="L504" i="2"/>
  <c r="S503" i="2"/>
  <c r="Q503" i="2"/>
  <c r="O503" i="2"/>
  <c r="L503" i="2"/>
  <c r="S502" i="2"/>
  <c r="Q502" i="2"/>
  <c r="P502" i="2"/>
  <c r="O502" i="2"/>
  <c r="L502" i="2"/>
  <c r="N502" i="2" s="1"/>
  <c r="S501" i="2"/>
  <c r="R501" i="2"/>
  <c r="Q501" i="2"/>
  <c r="P501" i="2"/>
  <c r="O501" i="2"/>
  <c r="N501" i="2"/>
  <c r="M501" i="2"/>
  <c r="L501" i="2"/>
  <c r="S500" i="2"/>
  <c r="Q500" i="2"/>
  <c r="N500" i="2"/>
  <c r="M500" i="2"/>
  <c r="L500" i="2"/>
  <c r="S499" i="2"/>
  <c r="R499" i="2"/>
  <c r="Q499" i="2"/>
  <c r="P499" i="2"/>
  <c r="O499" i="2"/>
  <c r="M499" i="2"/>
  <c r="L499" i="2"/>
  <c r="N499" i="2" s="1"/>
  <c r="S498" i="2"/>
  <c r="Q498" i="2"/>
  <c r="P498" i="2"/>
  <c r="O498" i="2"/>
  <c r="L498" i="2"/>
  <c r="S497" i="2"/>
  <c r="Q497" i="2"/>
  <c r="P497" i="2"/>
  <c r="O497" i="2"/>
  <c r="L497" i="2"/>
  <c r="S496" i="2"/>
  <c r="Q496" i="2"/>
  <c r="P496" i="2"/>
  <c r="O496" i="2"/>
  <c r="L496" i="2"/>
  <c r="S495" i="2"/>
  <c r="Q495" i="2"/>
  <c r="M495" i="2"/>
  <c r="R495" i="2" s="1"/>
  <c r="L495" i="2"/>
  <c r="S494" i="2"/>
  <c r="Q494" i="2"/>
  <c r="P494" i="2"/>
  <c r="O494" i="2"/>
  <c r="N494" i="2"/>
  <c r="M494" i="2"/>
  <c r="L494" i="2"/>
  <c r="S493" i="2"/>
  <c r="Q493" i="2"/>
  <c r="L493" i="2"/>
  <c r="S492" i="2"/>
  <c r="Q492" i="2"/>
  <c r="L492" i="2"/>
  <c r="S491" i="2"/>
  <c r="Q491" i="2"/>
  <c r="P491" i="2"/>
  <c r="L491" i="2"/>
  <c r="N491" i="2" s="1"/>
  <c r="S490" i="2"/>
  <c r="Q490" i="2"/>
  <c r="P490" i="2"/>
  <c r="O490" i="2"/>
  <c r="M490" i="2"/>
  <c r="L490" i="2"/>
  <c r="S489" i="2"/>
  <c r="R489" i="2"/>
  <c r="Q489" i="2"/>
  <c r="P489" i="2"/>
  <c r="O489" i="2"/>
  <c r="N489" i="2"/>
  <c r="L489" i="2"/>
  <c r="M489" i="2" s="1"/>
  <c r="S488" i="2"/>
  <c r="Q488" i="2"/>
  <c r="P488" i="2"/>
  <c r="O488" i="2"/>
  <c r="L488" i="2"/>
  <c r="S487" i="2"/>
  <c r="R487" i="2"/>
  <c r="Q487" i="2"/>
  <c r="M487" i="2"/>
  <c r="L487" i="2"/>
  <c r="S486" i="2"/>
  <c r="R486" i="2"/>
  <c r="Q486" i="2"/>
  <c r="P486" i="2"/>
  <c r="M486" i="2"/>
  <c r="L486" i="2"/>
  <c r="S485" i="2"/>
  <c r="Q485" i="2"/>
  <c r="P485" i="2"/>
  <c r="N485" i="2"/>
  <c r="M485" i="2"/>
  <c r="L485" i="2"/>
  <c r="S484" i="2"/>
  <c r="Q484" i="2"/>
  <c r="P484" i="2"/>
  <c r="O484" i="2"/>
  <c r="L484" i="2"/>
  <c r="N484" i="2" s="1"/>
  <c r="S483" i="2"/>
  <c r="Q483" i="2"/>
  <c r="P483" i="2"/>
  <c r="O483" i="2"/>
  <c r="N483" i="2"/>
  <c r="M483" i="2"/>
  <c r="R483" i="2" s="1"/>
  <c r="L483" i="2"/>
  <c r="S482" i="2"/>
  <c r="Q482" i="2"/>
  <c r="M482" i="2"/>
  <c r="L482" i="2"/>
  <c r="S481" i="2"/>
  <c r="Q481" i="2"/>
  <c r="P481" i="2"/>
  <c r="O481" i="2"/>
  <c r="M481" i="2"/>
  <c r="R481" i="2" s="1"/>
  <c r="L481" i="2"/>
  <c r="N481" i="2" s="1"/>
  <c r="S480" i="2"/>
  <c r="Q480" i="2"/>
  <c r="P480" i="2"/>
  <c r="O480" i="2"/>
  <c r="N480" i="2"/>
  <c r="M480" i="2"/>
  <c r="L480" i="2"/>
  <c r="S479" i="2"/>
  <c r="Q479" i="2"/>
  <c r="P479" i="2"/>
  <c r="O479" i="2"/>
  <c r="L479" i="2"/>
  <c r="S478" i="2"/>
  <c r="Q478" i="2"/>
  <c r="P478" i="2"/>
  <c r="O478" i="2"/>
  <c r="M478" i="2"/>
  <c r="R478" i="2" s="1"/>
  <c r="L478" i="2"/>
  <c r="N478" i="2" s="1"/>
  <c r="S477" i="2"/>
  <c r="Q477" i="2"/>
  <c r="O477" i="2"/>
  <c r="L477" i="2"/>
  <c r="S476" i="2"/>
  <c r="R476" i="2"/>
  <c r="Q476" i="2"/>
  <c r="P476" i="2"/>
  <c r="O476" i="2"/>
  <c r="N476" i="2"/>
  <c r="L476" i="2"/>
  <c r="M476" i="2" s="1"/>
  <c r="S475" i="2"/>
  <c r="Q475" i="2"/>
  <c r="O475" i="2"/>
  <c r="L475" i="2"/>
  <c r="S474" i="2"/>
  <c r="Q474" i="2"/>
  <c r="O474" i="2"/>
  <c r="N474" i="2"/>
  <c r="M474" i="2"/>
  <c r="R474" i="2" s="1"/>
  <c r="L474" i="2"/>
  <c r="P474" i="2" s="1"/>
  <c r="S473" i="2"/>
  <c r="R473" i="2"/>
  <c r="Q473" i="2"/>
  <c r="P473" i="2"/>
  <c r="O473" i="2"/>
  <c r="N473" i="2"/>
  <c r="L473" i="2"/>
  <c r="M473" i="2" s="1"/>
  <c r="S472" i="2"/>
  <c r="R472" i="2"/>
  <c r="Q472" i="2"/>
  <c r="M472" i="2"/>
  <c r="L472" i="2"/>
  <c r="S471" i="2"/>
  <c r="Q471" i="2"/>
  <c r="N471" i="2"/>
  <c r="L471" i="2"/>
  <c r="S470" i="2"/>
  <c r="Q470" i="2"/>
  <c r="P470" i="2"/>
  <c r="O470" i="2"/>
  <c r="N470" i="2"/>
  <c r="L470" i="2"/>
  <c r="M470" i="2" s="1"/>
  <c r="R470" i="2" s="1"/>
  <c r="S469" i="2"/>
  <c r="Q469" i="2"/>
  <c r="P469" i="2"/>
  <c r="O469" i="2"/>
  <c r="N469" i="2"/>
  <c r="L469" i="2"/>
  <c r="M469" i="2" s="1"/>
  <c r="R469" i="2" s="1"/>
  <c r="S468" i="2"/>
  <c r="Q468" i="2"/>
  <c r="L468" i="2"/>
  <c r="S467" i="2"/>
  <c r="R467" i="2"/>
  <c r="Q467" i="2"/>
  <c r="P467" i="2"/>
  <c r="O467" i="2"/>
  <c r="N467" i="2"/>
  <c r="L467" i="2"/>
  <c r="M467" i="2" s="1"/>
  <c r="S466" i="2"/>
  <c r="Q466" i="2"/>
  <c r="O466" i="2"/>
  <c r="N466" i="2"/>
  <c r="L466" i="2"/>
  <c r="S465" i="2"/>
  <c r="Q465" i="2"/>
  <c r="O465" i="2"/>
  <c r="N465" i="2"/>
  <c r="L465" i="2"/>
  <c r="S464" i="2"/>
  <c r="R464" i="2"/>
  <c r="Q464" i="2"/>
  <c r="P464" i="2"/>
  <c r="O464" i="2"/>
  <c r="N464" i="2"/>
  <c r="L464" i="2"/>
  <c r="M464" i="2" s="1"/>
  <c r="S463" i="2"/>
  <c r="R463" i="2"/>
  <c r="Q463" i="2"/>
  <c r="P463" i="2"/>
  <c r="O463" i="2"/>
  <c r="M463" i="2"/>
  <c r="L463" i="2"/>
  <c r="N463" i="2" s="1"/>
  <c r="S462" i="2"/>
  <c r="Q462" i="2"/>
  <c r="L462" i="2"/>
  <c r="S461" i="2"/>
  <c r="Q461" i="2"/>
  <c r="P461" i="2"/>
  <c r="O461" i="2"/>
  <c r="N461" i="2"/>
  <c r="L461" i="2"/>
  <c r="M461" i="2" s="1"/>
  <c r="R461" i="2" s="1"/>
  <c r="S460" i="2"/>
  <c r="Q460" i="2"/>
  <c r="P460" i="2"/>
  <c r="O460" i="2"/>
  <c r="N460" i="2"/>
  <c r="M460" i="2"/>
  <c r="L460" i="2"/>
  <c r="R460" i="2" s="1"/>
  <c r="S459" i="2"/>
  <c r="Q459" i="2"/>
  <c r="L459" i="2"/>
  <c r="S458" i="2"/>
  <c r="R458" i="2"/>
  <c r="Q458" i="2"/>
  <c r="P458" i="2"/>
  <c r="O458" i="2"/>
  <c r="N458" i="2"/>
  <c r="L458" i="2"/>
  <c r="M458" i="2" s="1"/>
  <c r="S457" i="2"/>
  <c r="Q457" i="2"/>
  <c r="L457" i="2"/>
  <c r="S456" i="2"/>
  <c r="R456" i="2"/>
  <c r="Q456" i="2"/>
  <c r="O456" i="2"/>
  <c r="N456" i="2"/>
  <c r="M456" i="2"/>
  <c r="L456" i="2"/>
  <c r="P456" i="2" s="1"/>
  <c r="S455" i="2"/>
  <c r="R455" i="2"/>
  <c r="Q455" i="2"/>
  <c r="P455" i="2"/>
  <c r="O455" i="2"/>
  <c r="N455" i="2"/>
  <c r="L455" i="2"/>
  <c r="M455" i="2" s="1"/>
  <c r="S454" i="2"/>
  <c r="Q454" i="2"/>
  <c r="L454" i="2"/>
  <c r="S453" i="2"/>
  <c r="Q453" i="2"/>
  <c r="N453" i="2"/>
  <c r="M453" i="2"/>
  <c r="R453" i="2" s="1"/>
  <c r="L453" i="2"/>
  <c r="S452" i="2"/>
  <c r="Q452" i="2"/>
  <c r="P452" i="2"/>
  <c r="O452" i="2"/>
  <c r="N452" i="2"/>
  <c r="L452" i="2"/>
  <c r="M452" i="2" s="1"/>
  <c r="R452" i="2" s="1"/>
  <c r="S451" i="2"/>
  <c r="Q451" i="2"/>
  <c r="P451" i="2"/>
  <c r="O451" i="2"/>
  <c r="N451" i="2"/>
  <c r="L451" i="2"/>
  <c r="M451" i="2" s="1"/>
  <c r="R451" i="2" s="1"/>
  <c r="S450" i="2"/>
  <c r="Q450" i="2"/>
  <c r="O450" i="2"/>
  <c r="L450" i="2"/>
  <c r="S449" i="2"/>
  <c r="R449" i="2"/>
  <c r="Q449" i="2"/>
  <c r="P449" i="2"/>
  <c r="O449" i="2"/>
  <c r="N449" i="2"/>
  <c r="L449" i="2"/>
  <c r="M449" i="2" s="1"/>
  <c r="S448" i="2"/>
  <c r="Q448" i="2"/>
  <c r="O448" i="2"/>
  <c r="N448" i="2"/>
  <c r="L448" i="2"/>
  <c r="S447" i="2"/>
  <c r="Q447" i="2"/>
  <c r="O447" i="2"/>
  <c r="L447" i="2"/>
  <c r="S446" i="2"/>
  <c r="R446" i="2"/>
  <c r="Q446" i="2"/>
  <c r="P446" i="2"/>
  <c r="O446" i="2"/>
  <c r="N446" i="2"/>
  <c r="L446" i="2"/>
  <c r="M446" i="2" s="1"/>
  <c r="S445" i="2"/>
  <c r="Q445" i="2"/>
  <c r="P445" i="2"/>
  <c r="L445" i="2"/>
  <c r="S444" i="2"/>
  <c r="Q444" i="2"/>
  <c r="N444" i="2"/>
  <c r="M444" i="2"/>
  <c r="R444" i="2" s="1"/>
  <c r="L444" i="2"/>
  <c r="S443" i="2"/>
  <c r="R443" i="2"/>
  <c r="Q443" i="2"/>
  <c r="P443" i="2"/>
  <c r="O443" i="2"/>
  <c r="N443" i="2"/>
  <c r="L443" i="2"/>
  <c r="M443" i="2" s="1"/>
  <c r="S442" i="2"/>
  <c r="Q442" i="2"/>
  <c r="P442" i="2"/>
  <c r="O442" i="2"/>
  <c r="N442" i="2"/>
  <c r="M442" i="2"/>
  <c r="L442" i="2"/>
  <c r="S441" i="2"/>
  <c r="Q441" i="2"/>
  <c r="O441" i="2"/>
  <c r="L441" i="2"/>
  <c r="S440" i="2"/>
  <c r="Q440" i="2"/>
  <c r="P440" i="2"/>
  <c r="O440" i="2"/>
  <c r="N440" i="2"/>
  <c r="L440" i="2"/>
  <c r="M440" i="2" s="1"/>
  <c r="R440" i="2" s="1"/>
  <c r="S439" i="2"/>
  <c r="R439" i="2"/>
  <c r="Q439" i="2"/>
  <c r="O439" i="2"/>
  <c r="N439" i="2"/>
  <c r="M439" i="2"/>
  <c r="L439" i="2"/>
  <c r="P439" i="2" s="1"/>
  <c r="S438" i="2"/>
  <c r="R438" i="2"/>
  <c r="Q438" i="2"/>
  <c r="O438" i="2"/>
  <c r="N438" i="2"/>
  <c r="M438" i="2"/>
  <c r="L438" i="2"/>
  <c r="P438" i="2" s="1"/>
  <c r="S437" i="2"/>
  <c r="R437" i="2"/>
  <c r="Q437" i="2"/>
  <c r="P437" i="2"/>
  <c r="O437" i="2"/>
  <c r="N437" i="2"/>
  <c r="L437" i="2"/>
  <c r="M437" i="2" s="1"/>
  <c r="S436" i="2"/>
  <c r="Q436" i="2"/>
  <c r="L436" i="2"/>
  <c r="S435" i="2"/>
  <c r="Q435" i="2"/>
  <c r="L435" i="2"/>
  <c r="S434" i="2"/>
  <c r="Q434" i="2"/>
  <c r="P434" i="2"/>
  <c r="O434" i="2"/>
  <c r="N434" i="2"/>
  <c r="L434" i="2"/>
  <c r="M434" i="2" s="1"/>
  <c r="R434" i="2" s="1"/>
  <c r="S433" i="2"/>
  <c r="R433" i="2"/>
  <c r="Q433" i="2"/>
  <c r="P433" i="2"/>
  <c r="O433" i="2"/>
  <c r="N433" i="2"/>
  <c r="M433" i="2"/>
  <c r="L433" i="2"/>
  <c r="S432" i="2"/>
  <c r="Q432" i="2"/>
  <c r="O432" i="2"/>
  <c r="N432" i="2"/>
  <c r="L432" i="2"/>
  <c r="S431" i="2"/>
  <c r="Q431" i="2"/>
  <c r="P431" i="2"/>
  <c r="O431" i="2"/>
  <c r="N431" i="2"/>
  <c r="L431" i="2"/>
  <c r="M431" i="2" s="1"/>
  <c r="R431" i="2" s="1"/>
  <c r="S430" i="2"/>
  <c r="R430" i="2"/>
  <c r="Q430" i="2"/>
  <c r="O430" i="2"/>
  <c r="N430" i="2"/>
  <c r="M430" i="2"/>
  <c r="L430" i="2"/>
  <c r="P430" i="2" s="1"/>
  <c r="S429" i="2"/>
  <c r="Q429" i="2"/>
  <c r="O429" i="2"/>
  <c r="L429" i="2"/>
  <c r="S428" i="2"/>
  <c r="R428" i="2"/>
  <c r="Q428" i="2"/>
  <c r="P428" i="2"/>
  <c r="O428" i="2"/>
  <c r="N428" i="2"/>
  <c r="L428" i="2"/>
  <c r="M428" i="2" s="1"/>
  <c r="S427" i="2"/>
  <c r="Q427" i="2"/>
  <c r="O427" i="2"/>
  <c r="M427" i="2"/>
  <c r="R427" i="2" s="1"/>
  <c r="L427" i="2"/>
  <c r="S426" i="2"/>
  <c r="Q426" i="2"/>
  <c r="M426" i="2"/>
  <c r="R426" i="2" s="1"/>
  <c r="L426" i="2"/>
  <c r="S425" i="2"/>
  <c r="Q425" i="2"/>
  <c r="P425" i="2"/>
  <c r="O425" i="2"/>
  <c r="N425" i="2"/>
  <c r="L425" i="2"/>
  <c r="M425" i="2" s="1"/>
  <c r="R425" i="2" s="1"/>
  <c r="S424" i="2"/>
  <c r="Q424" i="2"/>
  <c r="P424" i="2"/>
  <c r="O424" i="2"/>
  <c r="N424" i="2"/>
  <c r="M424" i="2"/>
  <c r="L424" i="2"/>
  <c r="R424" i="2" s="1"/>
  <c r="S423" i="2"/>
  <c r="Q423" i="2"/>
  <c r="O423" i="2"/>
  <c r="L423" i="2"/>
  <c r="S422" i="2"/>
  <c r="R422" i="2"/>
  <c r="Q422" i="2"/>
  <c r="P422" i="2"/>
  <c r="O422" i="2"/>
  <c r="N422" i="2"/>
  <c r="L422" i="2"/>
  <c r="M422" i="2" s="1"/>
  <c r="S421" i="2"/>
  <c r="Q421" i="2"/>
  <c r="O421" i="2"/>
  <c r="L421" i="2"/>
  <c r="P421" i="2" s="1"/>
  <c r="S420" i="2"/>
  <c r="Q420" i="2"/>
  <c r="O420" i="2"/>
  <c r="N420" i="2"/>
  <c r="M420" i="2"/>
  <c r="R420" i="2" s="1"/>
  <c r="L420" i="2"/>
  <c r="P420" i="2" s="1"/>
  <c r="S419" i="2"/>
  <c r="R419" i="2"/>
  <c r="Q419" i="2"/>
  <c r="P419" i="2"/>
  <c r="O419" i="2"/>
  <c r="N419" i="2"/>
  <c r="L419" i="2"/>
  <c r="M419" i="2" s="1"/>
  <c r="S418" i="2"/>
  <c r="Q418" i="2"/>
  <c r="P418" i="2"/>
  <c r="L418" i="2"/>
  <c r="S417" i="2"/>
  <c r="R417" i="2"/>
  <c r="Q417" i="2"/>
  <c r="N417" i="2"/>
  <c r="M417" i="2"/>
  <c r="L417" i="2"/>
  <c r="S416" i="2"/>
  <c r="Q416" i="2"/>
  <c r="P416" i="2"/>
  <c r="O416" i="2"/>
  <c r="N416" i="2"/>
  <c r="L416" i="2"/>
  <c r="M416" i="2" s="1"/>
  <c r="R416" i="2" s="1"/>
  <c r="S415" i="2"/>
  <c r="R415" i="2"/>
  <c r="Q415" i="2"/>
  <c r="P415" i="2"/>
  <c r="O415" i="2"/>
  <c r="N415" i="2"/>
  <c r="M415" i="2"/>
  <c r="L415" i="2"/>
  <c r="S414" i="2"/>
  <c r="Q414" i="2"/>
  <c r="L414" i="2"/>
  <c r="S413" i="2"/>
  <c r="R413" i="2"/>
  <c r="Q413" i="2"/>
  <c r="P413" i="2"/>
  <c r="O413" i="2"/>
  <c r="N413" i="2"/>
  <c r="L413" i="2"/>
  <c r="M413" i="2" s="1"/>
  <c r="S412" i="2"/>
  <c r="Q412" i="2"/>
  <c r="L412" i="2"/>
  <c r="S411" i="2"/>
  <c r="Q411" i="2"/>
  <c r="O411" i="2"/>
  <c r="N411" i="2"/>
  <c r="M411" i="2"/>
  <c r="L411" i="2"/>
  <c r="S410" i="2"/>
  <c r="R410" i="2"/>
  <c r="Q410" i="2"/>
  <c r="P410" i="2"/>
  <c r="O410" i="2"/>
  <c r="N410" i="2"/>
  <c r="L410" i="2"/>
  <c r="M410" i="2" s="1"/>
  <c r="S409" i="2"/>
  <c r="Q409" i="2"/>
  <c r="L409" i="2"/>
  <c r="S408" i="2"/>
  <c r="R408" i="2"/>
  <c r="Q408" i="2"/>
  <c r="N408" i="2"/>
  <c r="M408" i="2"/>
  <c r="L408" i="2"/>
  <c r="S407" i="2"/>
  <c r="R407" i="2"/>
  <c r="Q407" i="2"/>
  <c r="P407" i="2"/>
  <c r="O407" i="2"/>
  <c r="N407" i="2"/>
  <c r="L407" i="2"/>
  <c r="M407" i="2" s="1"/>
  <c r="S406" i="2"/>
  <c r="Q406" i="2"/>
  <c r="P406" i="2"/>
  <c r="O406" i="2"/>
  <c r="N406" i="2"/>
  <c r="M406" i="2"/>
  <c r="L406" i="2"/>
  <c r="S405" i="2"/>
  <c r="Q405" i="2"/>
  <c r="L405" i="2"/>
  <c r="S404" i="2"/>
  <c r="R404" i="2"/>
  <c r="Q404" i="2"/>
  <c r="P404" i="2"/>
  <c r="O404" i="2"/>
  <c r="N404" i="2"/>
  <c r="L404" i="2"/>
  <c r="M404" i="2" s="1"/>
  <c r="S403" i="2"/>
  <c r="Q403" i="2"/>
  <c r="O403" i="2"/>
  <c r="N403" i="2"/>
  <c r="M403" i="2"/>
  <c r="R403" i="2" s="1"/>
  <c r="L403" i="2"/>
  <c r="P403" i="2" s="1"/>
  <c r="S402" i="2"/>
  <c r="Q402" i="2"/>
  <c r="O402" i="2"/>
  <c r="N402" i="2"/>
  <c r="M402" i="2"/>
  <c r="R402" i="2" s="1"/>
  <c r="L402" i="2"/>
  <c r="P402" i="2" s="1"/>
  <c r="S401" i="2"/>
  <c r="R401" i="2"/>
  <c r="Q401" i="2"/>
  <c r="P401" i="2"/>
  <c r="O401" i="2"/>
  <c r="N401" i="2"/>
  <c r="L401" i="2"/>
  <c r="M401" i="2" s="1"/>
  <c r="S400" i="2"/>
  <c r="Q400" i="2"/>
  <c r="P400" i="2"/>
  <c r="L400" i="2"/>
  <c r="S399" i="2"/>
  <c r="Q399" i="2"/>
  <c r="N399" i="2"/>
  <c r="M399" i="2"/>
  <c r="L399" i="2"/>
  <c r="S398" i="2"/>
  <c r="Q398" i="2"/>
  <c r="P398" i="2"/>
  <c r="O398" i="2"/>
  <c r="N398" i="2"/>
  <c r="L398" i="2"/>
  <c r="M398" i="2" s="1"/>
  <c r="R398" i="2" s="1"/>
  <c r="S397" i="2"/>
  <c r="R397" i="2"/>
  <c r="Q397" i="2"/>
  <c r="P397" i="2"/>
  <c r="O397" i="2"/>
  <c r="N397" i="2"/>
  <c r="M397" i="2"/>
  <c r="L397" i="2"/>
  <c r="S396" i="2"/>
  <c r="Q396" i="2"/>
  <c r="L396" i="2"/>
  <c r="S395" i="2"/>
  <c r="R395" i="2"/>
  <c r="Q395" i="2"/>
  <c r="P395" i="2"/>
  <c r="O395" i="2"/>
  <c r="N395" i="2"/>
  <c r="L395" i="2"/>
  <c r="M395" i="2" s="1"/>
  <c r="S394" i="2"/>
  <c r="R394" i="2"/>
  <c r="Q394" i="2"/>
  <c r="N394" i="2"/>
  <c r="M394" i="2"/>
  <c r="L394" i="2"/>
  <c r="S393" i="2"/>
  <c r="Q393" i="2"/>
  <c r="O393" i="2"/>
  <c r="M393" i="2"/>
  <c r="L393" i="2"/>
  <c r="S392" i="2"/>
  <c r="R392" i="2"/>
  <c r="Q392" i="2"/>
  <c r="P392" i="2"/>
  <c r="O392" i="2"/>
  <c r="N392" i="2"/>
  <c r="L392" i="2"/>
  <c r="M392" i="2" s="1"/>
  <c r="S391" i="2"/>
  <c r="R391" i="2"/>
  <c r="Q391" i="2"/>
  <c r="P391" i="2"/>
  <c r="O391" i="2"/>
  <c r="N391" i="2"/>
  <c r="M391" i="2"/>
  <c r="L391" i="2"/>
  <c r="S390" i="2"/>
  <c r="Q390" i="2"/>
  <c r="L390" i="2"/>
  <c r="S389" i="2"/>
  <c r="R389" i="2"/>
  <c r="Q389" i="2"/>
  <c r="P389" i="2"/>
  <c r="O389" i="2"/>
  <c r="N389" i="2"/>
  <c r="L389" i="2"/>
  <c r="M389" i="2" s="1"/>
  <c r="S388" i="2"/>
  <c r="Q388" i="2"/>
  <c r="L388" i="2"/>
  <c r="S387" i="2"/>
  <c r="Q387" i="2"/>
  <c r="L387" i="2"/>
  <c r="S386" i="2"/>
  <c r="R386" i="2"/>
  <c r="Q386" i="2"/>
  <c r="P386" i="2"/>
  <c r="O386" i="2"/>
  <c r="N386" i="2"/>
  <c r="L386" i="2"/>
  <c r="M386" i="2" s="1"/>
  <c r="S385" i="2"/>
  <c r="R385" i="2"/>
  <c r="Q385" i="2"/>
  <c r="N385" i="2"/>
  <c r="L385" i="2"/>
  <c r="S384" i="2"/>
  <c r="R384" i="2"/>
  <c r="Q384" i="2"/>
  <c r="O384" i="2"/>
  <c r="N384" i="2"/>
  <c r="M384" i="2"/>
  <c r="L384" i="2"/>
  <c r="P384" i="2" s="1"/>
  <c r="S383" i="2"/>
  <c r="Q383" i="2"/>
  <c r="P383" i="2"/>
  <c r="O383" i="2"/>
  <c r="N383" i="2"/>
  <c r="L383" i="2"/>
  <c r="M383" i="2" s="1"/>
  <c r="R383" i="2" s="1"/>
  <c r="S382" i="2"/>
  <c r="Q382" i="2"/>
  <c r="L382" i="2"/>
  <c r="S381" i="2"/>
  <c r="R381" i="2"/>
  <c r="Q381" i="2"/>
  <c r="O381" i="2"/>
  <c r="N381" i="2"/>
  <c r="L381" i="2"/>
  <c r="P381" i="2" s="1"/>
  <c r="S380" i="2"/>
  <c r="Q380" i="2"/>
  <c r="P380" i="2"/>
  <c r="O380" i="2"/>
  <c r="N380" i="2"/>
  <c r="L380" i="2"/>
  <c r="M380" i="2" s="1"/>
  <c r="R380" i="2" s="1"/>
  <c r="S379" i="2"/>
  <c r="R379" i="2"/>
  <c r="Q379" i="2"/>
  <c r="P379" i="2"/>
  <c r="O379" i="2"/>
  <c r="N379" i="2"/>
  <c r="M379" i="2"/>
  <c r="L379" i="2"/>
  <c r="S378" i="2"/>
  <c r="Q378" i="2"/>
  <c r="M378" i="2"/>
  <c r="L378" i="2"/>
  <c r="S377" i="2"/>
  <c r="R377" i="2"/>
  <c r="Q377" i="2"/>
  <c r="P377" i="2"/>
  <c r="O377" i="2"/>
  <c r="N377" i="2"/>
  <c r="L377" i="2"/>
  <c r="M377" i="2" s="1"/>
  <c r="S376" i="2"/>
  <c r="Q376" i="2"/>
  <c r="O376" i="2"/>
  <c r="N376" i="2"/>
  <c r="L376" i="2"/>
  <c r="S375" i="2"/>
  <c r="Q375" i="2"/>
  <c r="O375" i="2"/>
  <c r="N375" i="2"/>
  <c r="M375" i="2"/>
  <c r="L375" i="2"/>
  <c r="S374" i="2"/>
  <c r="R374" i="2"/>
  <c r="Q374" i="2"/>
  <c r="P374" i="2"/>
  <c r="O374" i="2"/>
  <c r="N374" i="2"/>
  <c r="L374" i="2"/>
  <c r="M374" i="2" s="1"/>
  <c r="S373" i="2"/>
  <c r="Q373" i="2"/>
  <c r="N373" i="2"/>
  <c r="L373" i="2"/>
  <c r="S372" i="2"/>
  <c r="Q372" i="2"/>
  <c r="M372" i="2"/>
  <c r="R372" i="2" s="1"/>
  <c r="L372" i="2"/>
  <c r="S371" i="2"/>
  <c r="R371" i="2"/>
  <c r="Q371" i="2"/>
  <c r="P371" i="2"/>
  <c r="O371" i="2"/>
  <c r="N371" i="2"/>
  <c r="L371" i="2"/>
  <c r="M371" i="2" s="1"/>
  <c r="S370" i="2"/>
  <c r="Q370" i="2"/>
  <c r="O370" i="2"/>
  <c r="N370" i="2"/>
  <c r="M370" i="2"/>
  <c r="L370" i="2"/>
  <c r="S369" i="2"/>
  <c r="Q369" i="2"/>
  <c r="O369" i="2"/>
  <c r="L369" i="2"/>
  <c r="S368" i="2"/>
  <c r="R368" i="2"/>
  <c r="Q368" i="2"/>
  <c r="P368" i="2"/>
  <c r="O368" i="2"/>
  <c r="N368" i="2"/>
  <c r="L368" i="2"/>
  <c r="M368" i="2" s="1"/>
  <c r="S367" i="2"/>
  <c r="Q367" i="2"/>
  <c r="O367" i="2"/>
  <c r="L367" i="2"/>
  <c r="P367" i="2" s="1"/>
  <c r="S366" i="2"/>
  <c r="R366" i="2"/>
  <c r="Q366" i="2"/>
  <c r="O366" i="2"/>
  <c r="N366" i="2"/>
  <c r="M366" i="2"/>
  <c r="L366" i="2"/>
  <c r="P366" i="2" s="1"/>
  <c r="S365" i="2"/>
  <c r="R365" i="2"/>
  <c r="Q365" i="2"/>
  <c r="P365" i="2"/>
  <c r="O365" i="2"/>
  <c r="N365" i="2"/>
  <c r="L365" i="2"/>
  <c r="M365" i="2" s="1"/>
  <c r="S364" i="2"/>
  <c r="Q364" i="2"/>
  <c r="L364" i="2"/>
  <c r="S363" i="2"/>
  <c r="Q363" i="2"/>
  <c r="L363" i="2"/>
  <c r="S362" i="2"/>
  <c r="Q362" i="2"/>
  <c r="P362" i="2"/>
  <c r="O362" i="2"/>
  <c r="N362" i="2"/>
  <c r="L362" i="2"/>
  <c r="M362" i="2" s="1"/>
  <c r="R362" i="2" s="1"/>
  <c r="S361" i="2"/>
  <c r="R361" i="2"/>
  <c r="Q361" i="2"/>
  <c r="P361" i="2"/>
  <c r="O361" i="2"/>
  <c r="N361" i="2"/>
  <c r="M361" i="2"/>
  <c r="L361" i="2"/>
  <c r="S360" i="2"/>
  <c r="Q360" i="2"/>
  <c r="L360" i="2"/>
  <c r="M360" i="2" s="1"/>
  <c r="S359" i="2"/>
  <c r="Q359" i="2"/>
  <c r="P359" i="2"/>
  <c r="O359" i="2"/>
  <c r="N359" i="2"/>
  <c r="L359" i="2"/>
  <c r="M359" i="2" s="1"/>
  <c r="R359" i="2" s="1"/>
  <c r="S358" i="2"/>
  <c r="Q358" i="2"/>
  <c r="P358" i="2"/>
  <c r="O358" i="2"/>
  <c r="L358" i="2"/>
  <c r="N358" i="2" s="1"/>
  <c r="S357" i="2"/>
  <c r="Q357" i="2"/>
  <c r="L357" i="2"/>
  <c r="S356" i="2"/>
  <c r="R356" i="2"/>
  <c r="Q356" i="2"/>
  <c r="P356" i="2"/>
  <c r="O356" i="2"/>
  <c r="N356" i="2"/>
  <c r="L356" i="2"/>
  <c r="M356" i="2" s="1"/>
  <c r="S355" i="2"/>
  <c r="Q355" i="2"/>
  <c r="P355" i="2"/>
  <c r="O355" i="2"/>
  <c r="N355" i="2"/>
  <c r="L355" i="2"/>
  <c r="S354" i="2"/>
  <c r="R354" i="2"/>
  <c r="Q354" i="2"/>
  <c r="N354" i="2"/>
  <c r="M354" i="2"/>
  <c r="L354" i="2"/>
  <c r="S353" i="2"/>
  <c r="R353" i="2"/>
  <c r="Q353" i="2"/>
  <c r="P353" i="2"/>
  <c r="O353" i="2"/>
  <c r="N353" i="2"/>
  <c r="L353" i="2"/>
  <c r="M353" i="2" s="1"/>
  <c r="S352" i="2"/>
  <c r="Q352" i="2"/>
  <c r="L352" i="2"/>
  <c r="S351" i="2"/>
  <c r="Q351" i="2"/>
  <c r="L351" i="2"/>
  <c r="S350" i="2"/>
  <c r="R350" i="2"/>
  <c r="Q350" i="2"/>
  <c r="P350" i="2"/>
  <c r="O350" i="2"/>
  <c r="N350" i="2"/>
  <c r="L350" i="2"/>
  <c r="M350" i="2" s="1"/>
  <c r="S349" i="2"/>
  <c r="R349" i="2"/>
  <c r="Q349" i="2"/>
  <c r="N349" i="2"/>
  <c r="M349" i="2"/>
  <c r="L349" i="2"/>
  <c r="S348" i="2"/>
  <c r="Q348" i="2"/>
  <c r="L348" i="2"/>
  <c r="S347" i="2"/>
  <c r="Q347" i="2"/>
  <c r="P347" i="2"/>
  <c r="O347" i="2"/>
  <c r="N347" i="2"/>
  <c r="L347" i="2"/>
  <c r="M347" i="2" s="1"/>
  <c r="R347" i="2" s="1"/>
  <c r="S346" i="2"/>
  <c r="Q346" i="2"/>
  <c r="P346" i="2"/>
  <c r="O346" i="2"/>
  <c r="M346" i="2"/>
  <c r="R346" i="2" s="1"/>
  <c r="L346" i="2"/>
  <c r="N346" i="2" s="1"/>
  <c r="S345" i="2"/>
  <c r="Q345" i="2"/>
  <c r="L345" i="2"/>
  <c r="S344" i="2"/>
  <c r="Q344" i="2"/>
  <c r="L344" i="2"/>
  <c r="S343" i="2"/>
  <c r="R343" i="2"/>
  <c r="Q343" i="2"/>
  <c r="P343" i="2"/>
  <c r="O343" i="2"/>
  <c r="N343" i="2"/>
  <c r="M343" i="2"/>
  <c r="L343" i="2"/>
  <c r="S342" i="2"/>
  <c r="Q342" i="2"/>
  <c r="L342" i="2"/>
  <c r="S341" i="2"/>
  <c r="Q341" i="2"/>
  <c r="O341" i="2"/>
  <c r="N341" i="2"/>
  <c r="L341" i="2"/>
  <c r="S340" i="2"/>
  <c r="Q340" i="2"/>
  <c r="P340" i="2"/>
  <c r="N340" i="2"/>
  <c r="L340" i="2"/>
  <c r="S339" i="2"/>
  <c r="Q339" i="2"/>
  <c r="O339" i="2"/>
  <c r="N339" i="2"/>
  <c r="M339" i="2"/>
  <c r="L339" i="2"/>
  <c r="S338" i="2"/>
  <c r="Q338" i="2"/>
  <c r="P338" i="2"/>
  <c r="N338" i="2"/>
  <c r="L338" i="2"/>
  <c r="S337" i="2"/>
  <c r="Q337" i="2"/>
  <c r="P337" i="2"/>
  <c r="O337" i="2"/>
  <c r="N337" i="2"/>
  <c r="L337" i="2"/>
  <c r="S336" i="2"/>
  <c r="Q336" i="2"/>
  <c r="P336" i="2"/>
  <c r="O336" i="2"/>
  <c r="N336" i="2"/>
  <c r="L336" i="2"/>
  <c r="S335" i="2"/>
  <c r="Q335" i="2"/>
  <c r="L335" i="2"/>
  <c r="S334" i="2"/>
  <c r="Q334" i="2"/>
  <c r="L334" i="2"/>
  <c r="S333" i="2"/>
  <c r="Q333" i="2"/>
  <c r="P333" i="2"/>
  <c r="O333" i="2"/>
  <c r="N333" i="2"/>
  <c r="L333" i="2"/>
  <c r="S332" i="2"/>
  <c r="R332" i="2"/>
  <c r="Q332" i="2"/>
  <c r="P332" i="2"/>
  <c r="O332" i="2"/>
  <c r="N332" i="2"/>
  <c r="L332" i="2"/>
  <c r="M332" i="2" s="1"/>
  <c r="S331" i="2"/>
  <c r="Q331" i="2"/>
  <c r="L331" i="2"/>
  <c r="S330" i="2"/>
  <c r="Q330" i="2"/>
  <c r="L330" i="2"/>
  <c r="S329" i="2"/>
  <c r="Q329" i="2"/>
  <c r="N329" i="2"/>
  <c r="L329" i="2"/>
  <c r="S328" i="2"/>
  <c r="Q328" i="2"/>
  <c r="P328" i="2"/>
  <c r="O328" i="2"/>
  <c r="N328" i="2"/>
  <c r="M328" i="2"/>
  <c r="R328" i="2" s="1"/>
  <c r="L328" i="2"/>
  <c r="S327" i="2"/>
  <c r="Q327" i="2"/>
  <c r="P327" i="2"/>
  <c r="M327" i="2"/>
  <c r="R327" i="2" s="1"/>
  <c r="L327" i="2"/>
  <c r="S326" i="2"/>
  <c r="Q326" i="2"/>
  <c r="P326" i="2"/>
  <c r="N326" i="2"/>
  <c r="L326" i="2"/>
  <c r="S325" i="2"/>
  <c r="Q325" i="2"/>
  <c r="O325" i="2"/>
  <c r="N325" i="2"/>
  <c r="M325" i="2"/>
  <c r="L325" i="2"/>
  <c r="S324" i="2"/>
  <c r="R324" i="2"/>
  <c r="Q324" i="2"/>
  <c r="P324" i="2"/>
  <c r="O324" i="2"/>
  <c r="M324" i="2"/>
  <c r="L324" i="2"/>
  <c r="N324" i="2" s="1"/>
  <c r="S323" i="2"/>
  <c r="Q323" i="2"/>
  <c r="L323" i="2"/>
  <c r="S322" i="2"/>
  <c r="Q322" i="2"/>
  <c r="P322" i="2"/>
  <c r="O322" i="2"/>
  <c r="L322" i="2"/>
  <c r="N322" i="2" s="1"/>
  <c r="S321" i="2"/>
  <c r="Q321" i="2"/>
  <c r="P321" i="2"/>
  <c r="N321" i="2"/>
  <c r="L321" i="2"/>
  <c r="S320" i="2"/>
  <c r="R320" i="2"/>
  <c r="Q320" i="2"/>
  <c r="P320" i="2"/>
  <c r="L320" i="2"/>
  <c r="M320" i="2" s="1"/>
  <c r="S319" i="2"/>
  <c r="Q319" i="2"/>
  <c r="P319" i="2"/>
  <c r="O319" i="2"/>
  <c r="N319" i="2"/>
  <c r="M319" i="2"/>
  <c r="R319" i="2" s="1"/>
  <c r="L319" i="2"/>
  <c r="S318" i="2"/>
  <c r="Q318" i="2"/>
  <c r="L318" i="2"/>
  <c r="S317" i="2"/>
  <c r="R317" i="2"/>
  <c r="Q317" i="2"/>
  <c r="L317" i="2"/>
  <c r="S316" i="2"/>
  <c r="Q316" i="2"/>
  <c r="L316" i="2"/>
  <c r="S315" i="2"/>
  <c r="Q315" i="2"/>
  <c r="P315" i="2"/>
  <c r="O315" i="2"/>
  <c r="N315" i="2"/>
  <c r="M315" i="2"/>
  <c r="R315" i="2" s="1"/>
  <c r="L315" i="2"/>
  <c r="S314" i="2"/>
  <c r="Q314" i="2"/>
  <c r="L314" i="2"/>
  <c r="S313" i="2"/>
  <c r="Q313" i="2"/>
  <c r="L313" i="2"/>
  <c r="S312" i="2"/>
  <c r="Q312" i="2"/>
  <c r="L312" i="2"/>
  <c r="S311" i="2"/>
  <c r="Q311" i="2"/>
  <c r="P311" i="2"/>
  <c r="O311" i="2"/>
  <c r="L311" i="2"/>
  <c r="S310" i="2"/>
  <c r="Q310" i="2"/>
  <c r="P310" i="2"/>
  <c r="O310" i="2"/>
  <c r="M310" i="2"/>
  <c r="R310" i="2" s="1"/>
  <c r="L310" i="2"/>
  <c r="N310" i="2" s="1"/>
  <c r="S309" i="2"/>
  <c r="Q309" i="2"/>
  <c r="P309" i="2"/>
  <c r="L309" i="2"/>
  <c r="O309" i="2" s="1"/>
  <c r="S308" i="2"/>
  <c r="Q308" i="2"/>
  <c r="P308" i="2"/>
  <c r="O308" i="2"/>
  <c r="N308" i="2"/>
  <c r="L308" i="2"/>
  <c r="M308" i="2" s="1"/>
  <c r="S307" i="2"/>
  <c r="R307" i="2"/>
  <c r="Q307" i="2"/>
  <c r="L307" i="2"/>
  <c r="S306" i="2"/>
  <c r="R306" i="2"/>
  <c r="Q306" i="2"/>
  <c r="M306" i="2"/>
  <c r="L306" i="2"/>
  <c r="S305" i="2"/>
  <c r="Q305" i="2"/>
  <c r="L305" i="2"/>
  <c r="S304" i="2"/>
  <c r="R304" i="2"/>
  <c r="Q304" i="2"/>
  <c r="P304" i="2"/>
  <c r="O304" i="2"/>
  <c r="N304" i="2"/>
  <c r="M304" i="2"/>
  <c r="L304" i="2"/>
  <c r="S303" i="2"/>
  <c r="R303" i="2"/>
  <c r="Q303" i="2"/>
  <c r="P303" i="2"/>
  <c r="N303" i="2"/>
  <c r="L303" i="2"/>
  <c r="O303" i="2" s="1"/>
  <c r="S302" i="2"/>
  <c r="Q302" i="2"/>
  <c r="L302" i="2"/>
  <c r="N302" i="2" s="1"/>
  <c r="S301" i="2"/>
  <c r="Q301" i="2"/>
  <c r="L301" i="2"/>
  <c r="S300" i="2"/>
  <c r="Q300" i="2"/>
  <c r="L300" i="2"/>
  <c r="S299" i="2"/>
  <c r="Q299" i="2"/>
  <c r="L299" i="2"/>
  <c r="S298" i="2"/>
  <c r="Q298" i="2"/>
  <c r="L298" i="2"/>
  <c r="S297" i="2"/>
  <c r="Q297" i="2"/>
  <c r="L297" i="2"/>
  <c r="S296" i="2"/>
  <c r="Q296" i="2"/>
  <c r="L296" i="2"/>
  <c r="S295" i="2"/>
  <c r="Q295" i="2"/>
  <c r="L295" i="2"/>
  <c r="S294" i="2"/>
  <c r="Q294" i="2"/>
  <c r="P294" i="2"/>
  <c r="O294" i="2"/>
  <c r="N294" i="2"/>
  <c r="M294" i="2"/>
  <c r="R294" i="2" s="1"/>
  <c r="L294" i="2"/>
  <c r="S293" i="2"/>
  <c r="R293" i="2"/>
  <c r="Q293" i="2"/>
  <c r="P293" i="2"/>
  <c r="O293" i="2"/>
  <c r="N293" i="2"/>
  <c r="L293" i="2"/>
  <c r="M293" i="2" s="1"/>
  <c r="S292" i="2"/>
  <c r="R292" i="2"/>
  <c r="Q292" i="2"/>
  <c r="P292" i="2"/>
  <c r="N292" i="2"/>
  <c r="M292" i="2"/>
  <c r="L292" i="2"/>
  <c r="O292" i="2" s="1"/>
  <c r="S291" i="2"/>
  <c r="Q291" i="2"/>
  <c r="L291" i="2"/>
  <c r="S290" i="2"/>
  <c r="Q290" i="2"/>
  <c r="L290" i="2"/>
  <c r="S289" i="2"/>
  <c r="Q289" i="2"/>
  <c r="L289" i="2"/>
  <c r="M289" i="2" s="1"/>
  <c r="S288" i="2"/>
  <c r="Q288" i="2"/>
  <c r="L288" i="2"/>
  <c r="S287" i="2"/>
  <c r="Q287" i="2"/>
  <c r="L287" i="2"/>
  <c r="S286" i="2"/>
  <c r="Q286" i="2"/>
  <c r="O286" i="2"/>
  <c r="L286" i="2"/>
  <c r="S285" i="2"/>
  <c r="Q285" i="2"/>
  <c r="P285" i="2"/>
  <c r="M285" i="2"/>
  <c r="L285" i="2"/>
  <c r="S284" i="2"/>
  <c r="R284" i="2"/>
  <c r="Q284" i="2"/>
  <c r="P284" i="2"/>
  <c r="O284" i="2"/>
  <c r="L284" i="2"/>
  <c r="M284" i="2" s="1"/>
  <c r="S283" i="2"/>
  <c r="Q283" i="2"/>
  <c r="P283" i="2"/>
  <c r="O283" i="2"/>
  <c r="L283" i="2"/>
  <c r="N283" i="2" s="1"/>
  <c r="S282" i="2"/>
  <c r="Q282" i="2"/>
  <c r="L282" i="2"/>
  <c r="S281" i="2"/>
  <c r="Q281" i="2"/>
  <c r="L281" i="2"/>
  <c r="S280" i="2"/>
  <c r="Q280" i="2"/>
  <c r="L280" i="2"/>
  <c r="S279" i="2"/>
  <c r="R279" i="2"/>
  <c r="Q279" i="2"/>
  <c r="P279" i="2"/>
  <c r="O279" i="2"/>
  <c r="N279" i="2"/>
  <c r="M279" i="2"/>
  <c r="L279" i="2"/>
  <c r="S278" i="2"/>
  <c r="Q278" i="2"/>
  <c r="P278" i="2"/>
  <c r="N278" i="2"/>
  <c r="L278" i="2"/>
  <c r="S277" i="2"/>
  <c r="R277" i="2"/>
  <c r="Q277" i="2"/>
  <c r="P277" i="2"/>
  <c r="L277" i="2"/>
  <c r="O277" i="2" s="1"/>
  <c r="S276" i="2"/>
  <c r="Q276" i="2"/>
  <c r="L276" i="2"/>
  <c r="S275" i="2"/>
  <c r="R275" i="2"/>
  <c r="Q275" i="2"/>
  <c r="P275" i="2"/>
  <c r="O275" i="2"/>
  <c r="N275" i="2"/>
  <c r="L275" i="2"/>
  <c r="M275" i="2" s="1"/>
  <c r="S274" i="2"/>
  <c r="Q274" i="2"/>
  <c r="P274" i="2"/>
  <c r="O274" i="2"/>
  <c r="M274" i="2"/>
  <c r="R274" i="2" s="1"/>
  <c r="L274" i="2"/>
  <c r="N274" i="2" s="1"/>
  <c r="S273" i="2"/>
  <c r="R273" i="2"/>
  <c r="Q273" i="2"/>
  <c r="P273" i="2"/>
  <c r="N273" i="2"/>
  <c r="M273" i="2"/>
  <c r="L273" i="2"/>
  <c r="O273" i="2" s="1"/>
  <c r="S272" i="2"/>
  <c r="Q272" i="2"/>
  <c r="P272" i="2"/>
  <c r="O272" i="2"/>
  <c r="L272" i="2"/>
  <c r="S271" i="2"/>
  <c r="R271" i="2"/>
  <c r="Q271" i="2"/>
  <c r="P271" i="2"/>
  <c r="O271" i="2"/>
  <c r="L271" i="2"/>
  <c r="M271" i="2" s="1"/>
  <c r="S270" i="2"/>
  <c r="R270" i="2"/>
  <c r="Q270" i="2"/>
  <c r="P270" i="2"/>
  <c r="O270" i="2"/>
  <c r="N270" i="2"/>
  <c r="M270" i="2"/>
  <c r="L270" i="2"/>
  <c r="S269" i="2"/>
  <c r="Q269" i="2"/>
  <c r="N269" i="2"/>
  <c r="L269" i="2"/>
  <c r="S268" i="2"/>
  <c r="Q268" i="2"/>
  <c r="P268" i="2"/>
  <c r="O268" i="2"/>
  <c r="N268" i="2"/>
  <c r="M268" i="2"/>
  <c r="R268" i="2" s="1"/>
  <c r="L268" i="2"/>
  <c r="S267" i="2"/>
  <c r="Q267" i="2"/>
  <c r="P267" i="2"/>
  <c r="L267" i="2"/>
  <c r="S266" i="2"/>
  <c r="Q266" i="2"/>
  <c r="L266" i="2"/>
  <c r="S265" i="2"/>
  <c r="Q265" i="2"/>
  <c r="L265" i="2"/>
  <c r="S264" i="2"/>
  <c r="Q264" i="2"/>
  <c r="P264" i="2"/>
  <c r="O264" i="2"/>
  <c r="N264" i="2"/>
  <c r="M264" i="2"/>
  <c r="R264" i="2" s="1"/>
  <c r="L264" i="2"/>
  <c r="S263" i="2"/>
  <c r="Q263" i="2"/>
  <c r="P263" i="2"/>
  <c r="N263" i="2"/>
  <c r="L263" i="2"/>
  <c r="S262" i="2"/>
  <c r="Q262" i="2"/>
  <c r="P262" i="2"/>
  <c r="O262" i="2"/>
  <c r="L262" i="2"/>
  <c r="S261" i="2"/>
  <c r="Q261" i="2"/>
  <c r="L261" i="2"/>
  <c r="S260" i="2"/>
  <c r="Q260" i="2"/>
  <c r="P260" i="2"/>
  <c r="O260" i="2"/>
  <c r="L260" i="2"/>
  <c r="S259" i="2"/>
  <c r="Q259" i="2"/>
  <c r="L259" i="2"/>
  <c r="M259" i="2" s="1"/>
  <c r="R259" i="2" s="1"/>
  <c r="S258" i="2"/>
  <c r="Q258" i="2"/>
  <c r="L258" i="2"/>
  <c r="S257" i="2"/>
  <c r="R257" i="2"/>
  <c r="Q257" i="2"/>
  <c r="P257" i="2"/>
  <c r="O257" i="2"/>
  <c r="N257" i="2"/>
  <c r="L257" i="2"/>
  <c r="M257" i="2" s="1"/>
  <c r="S256" i="2"/>
  <c r="Q256" i="2"/>
  <c r="L256" i="2"/>
  <c r="S255" i="2"/>
  <c r="Q255" i="2"/>
  <c r="L255" i="2"/>
  <c r="S254" i="2"/>
  <c r="Q254" i="2"/>
  <c r="N254" i="2"/>
  <c r="L254" i="2"/>
  <c r="S253" i="2"/>
  <c r="Q253" i="2"/>
  <c r="O253" i="2"/>
  <c r="N253" i="2"/>
  <c r="M253" i="2"/>
  <c r="L253" i="2"/>
  <c r="S252" i="2"/>
  <c r="R252" i="2"/>
  <c r="Q252" i="2"/>
  <c r="P252" i="2"/>
  <c r="N252" i="2"/>
  <c r="M252" i="2"/>
  <c r="L252" i="2"/>
  <c r="O252" i="2" s="1"/>
  <c r="S251" i="2"/>
  <c r="R251" i="2"/>
  <c r="Q251" i="2"/>
  <c r="P251" i="2"/>
  <c r="O251" i="2"/>
  <c r="L251" i="2"/>
  <c r="M251" i="2" s="1"/>
  <c r="S250" i="2"/>
  <c r="Q250" i="2"/>
  <c r="P250" i="2"/>
  <c r="L250" i="2"/>
  <c r="S249" i="2"/>
  <c r="Q249" i="2"/>
  <c r="L249" i="2"/>
  <c r="S248" i="2"/>
  <c r="Q248" i="2"/>
  <c r="L248" i="2"/>
  <c r="S247" i="2"/>
  <c r="Q247" i="2"/>
  <c r="P247" i="2"/>
  <c r="O247" i="2"/>
  <c r="N247" i="2"/>
  <c r="M247" i="2"/>
  <c r="R247" i="2" s="1"/>
  <c r="L247" i="2"/>
  <c r="S246" i="2"/>
  <c r="R246" i="2"/>
  <c r="Q246" i="2"/>
  <c r="P246" i="2"/>
  <c r="O246" i="2"/>
  <c r="N246" i="2"/>
  <c r="L246" i="2"/>
  <c r="M246" i="2" s="1"/>
  <c r="S245" i="2"/>
  <c r="Q245" i="2"/>
  <c r="P245" i="2"/>
  <c r="L245" i="2"/>
  <c r="S244" i="2"/>
  <c r="Q244" i="2"/>
  <c r="O244" i="2"/>
  <c r="N244" i="2"/>
  <c r="L244" i="2"/>
  <c r="P244" i="2" s="1"/>
  <c r="S243" i="2"/>
  <c r="R243" i="2"/>
  <c r="Q243" i="2"/>
  <c r="P243" i="2"/>
  <c r="O243" i="2"/>
  <c r="N243" i="2"/>
  <c r="M243" i="2"/>
  <c r="L243" i="2"/>
  <c r="S242" i="2"/>
  <c r="R242" i="2"/>
  <c r="Q242" i="2"/>
  <c r="P242" i="2"/>
  <c r="O242" i="2"/>
  <c r="N242" i="2"/>
  <c r="L242" i="2"/>
  <c r="M242" i="2" s="1"/>
  <c r="S241" i="2"/>
  <c r="Q241" i="2"/>
  <c r="L241" i="2"/>
  <c r="S240" i="2"/>
  <c r="Q240" i="2"/>
  <c r="P240" i="2"/>
  <c r="N240" i="2"/>
  <c r="L240" i="2"/>
  <c r="O240" i="2" s="1"/>
  <c r="S239" i="2"/>
  <c r="R239" i="2"/>
  <c r="Q239" i="2"/>
  <c r="P239" i="2"/>
  <c r="O239" i="2"/>
  <c r="L239" i="2"/>
  <c r="M239" i="2" s="1"/>
  <c r="S238" i="2"/>
  <c r="Q238" i="2"/>
  <c r="P238" i="2"/>
  <c r="L238" i="2"/>
  <c r="M238" i="2" s="1"/>
  <c r="S237" i="2"/>
  <c r="Q237" i="2"/>
  <c r="L237" i="2"/>
  <c r="S236" i="2"/>
  <c r="Q236" i="2"/>
  <c r="L236" i="2"/>
  <c r="S235" i="2"/>
  <c r="R235" i="2"/>
  <c r="Q235" i="2"/>
  <c r="L235" i="2"/>
  <c r="S234" i="2"/>
  <c r="Q234" i="2"/>
  <c r="N234" i="2"/>
  <c r="M234" i="2"/>
  <c r="R234" i="2" s="1"/>
  <c r="L234" i="2"/>
  <c r="S233" i="2"/>
  <c r="Q233" i="2"/>
  <c r="O233" i="2"/>
  <c r="N233" i="2"/>
  <c r="L233" i="2"/>
  <c r="S232" i="2"/>
  <c r="R232" i="2"/>
  <c r="Q232" i="2"/>
  <c r="P232" i="2"/>
  <c r="O232" i="2"/>
  <c r="N232" i="2"/>
  <c r="M232" i="2"/>
  <c r="L232" i="2"/>
  <c r="S231" i="2"/>
  <c r="Q231" i="2"/>
  <c r="L231" i="2"/>
  <c r="S230" i="2"/>
  <c r="Q230" i="2"/>
  <c r="L230" i="2"/>
  <c r="S229" i="2"/>
  <c r="Q229" i="2"/>
  <c r="L229" i="2"/>
  <c r="S228" i="2"/>
  <c r="Q228" i="2"/>
  <c r="P228" i="2"/>
  <c r="O228" i="2"/>
  <c r="N228" i="2"/>
  <c r="L228" i="2"/>
  <c r="S227" i="2"/>
  <c r="Q227" i="2"/>
  <c r="L227" i="2"/>
  <c r="S226" i="2"/>
  <c r="Q226" i="2"/>
  <c r="P226" i="2"/>
  <c r="O226" i="2"/>
  <c r="L226" i="2"/>
  <c r="S225" i="2"/>
  <c r="Q225" i="2"/>
  <c r="O225" i="2"/>
  <c r="N225" i="2"/>
  <c r="L225" i="2"/>
  <c r="S224" i="2"/>
  <c r="Q224" i="2"/>
  <c r="L224" i="2"/>
  <c r="S223" i="2"/>
  <c r="Q223" i="2"/>
  <c r="L223" i="2"/>
  <c r="S222" i="2"/>
  <c r="Q222" i="2"/>
  <c r="L222" i="2"/>
  <c r="S221" i="2"/>
  <c r="R221" i="2"/>
  <c r="Q221" i="2"/>
  <c r="P221" i="2"/>
  <c r="O221" i="2"/>
  <c r="N221" i="2"/>
  <c r="L221" i="2"/>
  <c r="M221" i="2" s="1"/>
  <c r="S220" i="2"/>
  <c r="Q220" i="2"/>
  <c r="P220" i="2"/>
  <c r="O220" i="2"/>
  <c r="N220" i="2"/>
  <c r="M220" i="2"/>
  <c r="R220" i="2" s="1"/>
  <c r="L220" i="2"/>
  <c r="S219" i="2"/>
  <c r="R219" i="2"/>
  <c r="Q219" i="2"/>
  <c r="O219" i="2"/>
  <c r="N219" i="2"/>
  <c r="M219" i="2"/>
  <c r="L219" i="2"/>
  <c r="P219" i="2" s="1"/>
  <c r="S218" i="2"/>
  <c r="Q218" i="2"/>
  <c r="P218" i="2"/>
  <c r="L218" i="2"/>
  <c r="S217" i="2"/>
  <c r="Q217" i="2"/>
  <c r="L217" i="2"/>
  <c r="S216" i="2"/>
  <c r="Q216" i="2"/>
  <c r="L216" i="2"/>
  <c r="S215" i="2"/>
  <c r="Q215" i="2"/>
  <c r="L215" i="2"/>
  <c r="N215" i="2" s="1"/>
  <c r="S214" i="2"/>
  <c r="R214" i="2"/>
  <c r="Q214" i="2"/>
  <c r="P214" i="2"/>
  <c r="O214" i="2"/>
  <c r="N214" i="2"/>
  <c r="L214" i="2"/>
  <c r="M214" i="2" s="1"/>
  <c r="S213" i="2"/>
  <c r="R213" i="2"/>
  <c r="Q213" i="2"/>
  <c r="P213" i="2"/>
  <c r="O213" i="2"/>
  <c r="N213" i="2"/>
  <c r="L213" i="2"/>
  <c r="M213" i="2" s="1"/>
  <c r="S212" i="2"/>
  <c r="Q212" i="2"/>
  <c r="L212" i="2"/>
  <c r="S211" i="2"/>
  <c r="Q211" i="2"/>
  <c r="P211" i="2"/>
  <c r="O211" i="2"/>
  <c r="N211" i="2"/>
  <c r="M211" i="2"/>
  <c r="R211" i="2" s="1"/>
  <c r="L211" i="2"/>
  <c r="S210" i="2"/>
  <c r="Q210" i="2"/>
  <c r="P210" i="2"/>
  <c r="O210" i="2"/>
  <c r="N210" i="2"/>
  <c r="M210" i="2"/>
  <c r="R210" i="2" s="1"/>
  <c r="L210" i="2"/>
  <c r="S209" i="2"/>
  <c r="Q209" i="2"/>
  <c r="O209" i="2"/>
  <c r="L209" i="2"/>
  <c r="S208" i="2"/>
  <c r="Q208" i="2"/>
  <c r="P208" i="2"/>
  <c r="O208" i="2"/>
  <c r="L208" i="2"/>
  <c r="S207" i="2"/>
  <c r="Q207" i="2"/>
  <c r="L207" i="2"/>
  <c r="S206" i="2"/>
  <c r="Q206" i="2"/>
  <c r="L206" i="2"/>
  <c r="S205" i="2"/>
  <c r="Q205" i="2"/>
  <c r="P205" i="2"/>
  <c r="O205" i="2"/>
  <c r="N205" i="2"/>
  <c r="M205" i="2"/>
  <c r="R205" i="2" s="1"/>
  <c r="L205" i="2"/>
  <c r="S204" i="2"/>
  <c r="Q204" i="2"/>
  <c r="P204" i="2"/>
  <c r="O204" i="2"/>
  <c r="L204" i="2"/>
  <c r="M204" i="2" s="1"/>
  <c r="S203" i="2"/>
  <c r="Q203" i="2"/>
  <c r="P203" i="2"/>
  <c r="L203" i="2"/>
  <c r="S202" i="2"/>
  <c r="Q202" i="2"/>
  <c r="L202" i="2"/>
  <c r="S201" i="2"/>
  <c r="R201" i="2"/>
  <c r="Q201" i="2"/>
  <c r="P201" i="2"/>
  <c r="O201" i="2"/>
  <c r="N201" i="2"/>
  <c r="M201" i="2"/>
  <c r="L201" i="2"/>
  <c r="S200" i="2"/>
  <c r="R200" i="2"/>
  <c r="Q200" i="2"/>
  <c r="P200" i="2"/>
  <c r="O200" i="2"/>
  <c r="N200" i="2"/>
  <c r="L200" i="2"/>
  <c r="M200" i="2" s="1"/>
  <c r="S199" i="2"/>
  <c r="Q199" i="2"/>
  <c r="L199" i="2"/>
  <c r="S198" i="2"/>
  <c r="Q198" i="2"/>
  <c r="L198" i="2"/>
  <c r="S197" i="2"/>
  <c r="Q197" i="2"/>
  <c r="L197" i="2"/>
  <c r="S196" i="2"/>
  <c r="Q196" i="2"/>
  <c r="P196" i="2"/>
  <c r="O196" i="2"/>
  <c r="N196" i="2"/>
  <c r="L196" i="2"/>
  <c r="S195" i="2"/>
  <c r="Q195" i="2"/>
  <c r="P195" i="2"/>
  <c r="N195" i="2"/>
  <c r="L195" i="2"/>
  <c r="O195" i="2" s="1"/>
  <c r="S194" i="2"/>
  <c r="Q194" i="2"/>
  <c r="L194" i="2"/>
  <c r="S193" i="2"/>
  <c r="Q193" i="2"/>
  <c r="P193" i="2"/>
  <c r="M193" i="2"/>
  <c r="L193" i="2"/>
  <c r="S192" i="2"/>
  <c r="Q192" i="2"/>
  <c r="L192" i="2"/>
  <c r="S191" i="2"/>
  <c r="R191" i="2"/>
  <c r="Q191" i="2"/>
  <c r="P191" i="2"/>
  <c r="O191" i="2"/>
  <c r="N191" i="2"/>
  <c r="L191" i="2"/>
  <c r="M191" i="2" s="1"/>
  <c r="S190" i="2"/>
  <c r="R190" i="2"/>
  <c r="Q190" i="2"/>
  <c r="P190" i="2"/>
  <c r="O190" i="2"/>
  <c r="N190" i="2"/>
  <c r="L190" i="2"/>
  <c r="M190" i="2" s="1"/>
  <c r="S189" i="2"/>
  <c r="Q189" i="2"/>
  <c r="L189" i="2"/>
  <c r="S188" i="2"/>
  <c r="Q188" i="2"/>
  <c r="L188" i="2"/>
  <c r="S187" i="2"/>
  <c r="Q187" i="2"/>
  <c r="L187" i="2"/>
  <c r="S186" i="2"/>
  <c r="R186" i="2"/>
  <c r="Q186" i="2"/>
  <c r="P186" i="2"/>
  <c r="O186" i="2"/>
  <c r="N186" i="2"/>
  <c r="M186" i="2"/>
  <c r="L186" i="2"/>
  <c r="S185" i="2"/>
  <c r="R185" i="2"/>
  <c r="Q185" i="2"/>
  <c r="P185" i="2"/>
  <c r="O185" i="2"/>
  <c r="L185" i="2"/>
  <c r="M185" i="2" s="1"/>
  <c r="S184" i="2"/>
  <c r="Q184" i="2"/>
  <c r="L184" i="2"/>
  <c r="S183" i="2"/>
  <c r="R183" i="2"/>
  <c r="Q183" i="2"/>
  <c r="L183" i="2"/>
  <c r="S182" i="2"/>
  <c r="Q182" i="2"/>
  <c r="L182" i="2"/>
  <c r="S181" i="2"/>
  <c r="Q181" i="2"/>
  <c r="P181" i="2"/>
  <c r="O181" i="2"/>
  <c r="L181" i="2"/>
  <c r="N181" i="2" s="1"/>
  <c r="S180" i="2"/>
  <c r="R180" i="2"/>
  <c r="Q180" i="2"/>
  <c r="O180" i="2"/>
  <c r="L180" i="2"/>
  <c r="S179" i="2"/>
  <c r="Q179" i="2"/>
  <c r="L179" i="2"/>
  <c r="S178" i="2"/>
  <c r="Q178" i="2"/>
  <c r="L178" i="2"/>
  <c r="S177" i="2"/>
  <c r="Q177" i="2"/>
  <c r="L177" i="2"/>
  <c r="S176" i="2"/>
  <c r="R176" i="2"/>
  <c r="Q176" i="2"/>
  <c r="P176" i="2"/>
  <c r="O176" i="2"/>
  <c r="L176" i="2"/>
  <c r="M176" i="2" s="1"/>
  <c r="S175" i="2"/>
  <c r="R175" i="2"/>
  <c r="Q175" i="2"/>
  <c r="P175" i="2"/>
  <c r="O175" i="2"/>
  <c r="N175" i="2"/>
  <c r="M175" i="2"/>
  <c r="L175" i="2"/>
  <c r="S174" i="2"/>
  <c r="Q174" i="2"/>
  <c r="N174" i="2"/>
  <c r="M174" i="2"/>
  <c r="L174" i="2"/>
  <c r="S173" i="2"/>
  <c r="Q173" i="2"/>
  <c r="L173" i="2"/>
  <c r="S172" i="2"/>
  <c r="Q172" i="2"/>
  <c r="P172" i="2"/>
  <c r="O172" i="2"/>
  <c r="N172" i="2"/>
  <c r="M172" i="2"/>
  <c r="R172" i="2" s="1"/>
  <c r="L172" i="2"/>
  <c r="S171" i="2"/>
  <c r="Q171" i="2"/>
  <c r="L171" i="2"/>
  <c r="S170" i="2"/>
  <c r="Q170" i="2"/>
  <c r="L170" i="2"/>
  <c r="S169" i="2"/>
  <c r="R169" i="2"/>
  <c r="Q169" i="2"/>
  <c r="N169" i="2"/>
  <c r="L169" i="2"/>
  <c r="S168" i="2"/>
  <c r="Q168" i="2"/>
  <c r="P168" i="2"/>
  <c r="O168" i="2"/>
  <c r="N168" i="2"/>
  <c r="M168" i="2"/>
  <c r="L168" i="2"/>
  <c r="S167" i="2"/>
  <c r="Q167" i="2"/>
  <c r="P167" i="2"/>
  <c r="L167" i="2"/>
  <c r="S166" i="2"/>
  <c r="Q166" i="2"/>
  <c r="P166" i="2"/>
  <c r="O166" i="2"/>
  <c r="L166" i="2"/>
  <c r="S165" i="2"/>
  <c r="R165" i="2"/>
  <c r="Q165" i="2"/>
  <c r="M165" i="2"/>
  <c r="L165" i="2"/>
  <c r="S164" i="2"/>
  <c r="R164" i="2"/>
  <c r="Q164" i="2"/>
  <c r="P164" i="2"/>
  <c r="O164" i="2"/>
  <c r="N164" i="2"/>
  <c r="L164" i="2"/>
  <c r="M164" i="2" s="1"/>
  <c r="S163" i="2"/>
  <c r="Q163" i="2"/>
  <c r="P163" i="2"/>
  <c r="O163" i="2"/>
  <c r="N163" i="2"/>
  <c r="L163" i="2"/>
  <c r="S162" i="2"/>
  <c r="Q162" i="2"/>
  <c r="O162" i="2"/>
  <c r="N162" i="2"/>
  <c r="L162" i="2"/>
  <c r="P162" i="2" s="1"/>
  <c r="S161" i="2"/>
  <c r="Q161" i="2"/>
  <c r="L161" i="2"/>
  <c r="S160" i="2"/>
  <c r="Q160" i="2"/>
  <c r="N160" i="2"/>
  <c r="M160" i="2"/>
  <c r="R160" i="2" s="1"/>
  <c r="L160" i="2"/>
  <c r="S159" i="2"/>
  <c r="Q159" i="2"/>
  <c r="P159" i="2"/>
  <c r="N159" i="2"/>
  <c r="L159" i="2"/>
  <c r="S158" i="2"/>
  <c r="R158" i="2"/>
  <c r="Q158" i="2"/>
  <c r="P158" i="2"/>
  <c r="O158" i="2"/>
  <c r="L158" i="2"/>
  <c r="M158" i="2" s="1"/>
  <c r="S157" i="2"/>
  <c r="Q157" i="2"/>
  <c r="P157" i="2"/>
  <c r="O157" i="2"/>
  <c r="N157" i="2"/>
  <c r="L157" i="2"/>
  <c r="R157" i="2" s="1"/>
  <c r="S156" i="2"/>
  <c r="Q156" i="2"/>
  <c r="L156" i="2"/>
  <c r="S155" i="2"/>
  <c r="Q155" i="2"/>
  <c r="L155" i="2"/>
  <c r="N155" i="2" s="1"/>
  <c r="S154" i="2"/>
  <c r="Q154" i="2"/>
  <c r="L154" i="2"/>
  <c r="M154" i="2" s="1"/>
  <c r="S153" i="2"/>
  <c r="R153" i="2"/>
  <c r="Q153" i="2"/>
  <c r="P153" i="2"/>
  <c r="O153" i="2"/>
  <c r="L153" i="2"/>
  <c r="M153" i="2" s="1"/>
  <c r="S152" i="2"/>
  <c r="R152" i="2"/>
  <c r="Q152" i="2"/>
  <c r="P152" i="2"/>
  <c r="O152" i="2"/>
  <c r="L152" i="2"/>
  <c r="M152" i="2" s="1"/>
  <c r="S151" i="2"/>
  <c r="Q151" i="2"/>
  <c r="L151" i="2"/>
  <c r="S150" i="2"/>
  <c r="R150" i="2"/>
  <c r="Q150" i="2"/>
  <c r="P150" i="2"/>
  <c r="O150" i="2"/>
  <c r="N150" i="2"/>
  <c r="M150" i="2"/>
  <c r="L150" i="2"/>
  <c r="S149" i="2"/>
  <c r="Q149" i="2"/>
  <c r="L149" i="2"/>
  <c r="N149" i="2" s="1"/>
  <c r="S148" i="2"/>
  <c r="Q148" i="2"/>
  <c r="P148" i="2"/>
  <c r="N148" i="2"/>
  <c r="L148" i="2"/>
  <c r="O148" i="2" s="1"/>
  <c r="S147" i="2"/>
  <c r="Q147" i="2"/>
  <c r="L147" i="2"/>
  <c r="S146" i="2"/>
  <c r="Q146" i="2"/>
  <c r="N146" i="2"/>
  <c r="L146" i="2"/>
  <c r="S145" i="2"/>
  <c r="R145" i="2"/>
  <c r="Q145" i="2"/>
  <c r="O145" i="2"/>
  <c r="M145" i="2"/>
  <c r="L145" i="2"/>
  <c r="S144" i="2"/>
  <c r="Q144" i="2"/>
  <c r="P144" i="2"/>
  <c r="O144" i="2"/>
  <c r="N144" i="2"/>
  <c r="M144" i="2"/>
  <c r="R144" i="2" s="1"/>
  <c r="L144" i="2"/>
  <c r="S143" i="2"/>
  <c r="Q143" i="2"/>
  <c r="P143" i="2"/>
  <c r="O143" i="2"/>
  <c r="L143" i="2"/>
  <c r="S142" i="2"/>
  <c r="R142" i="2"/>
  <c r="Q142" i="2"/>
  <c r="P142" i="2"/>
  <c r="O142" i="2"/>
  <c r="L142" i="2"/>
  <c r="M142" i="2" s="1"/>
  <c r="S141" i="2"/>
  <c r="Q141" i="2"/>
  <c r="M141" i="2"/>
  <c r="R141" i="2" s="1"/>
  <c r="L141" i="2"/>
  <c r="S140" i="2"/>
  <c r="Q140" i="2"/>
  <c r="O140" i="2"/>
  <c r="L140" i="2"/>
  <c r="S139" i="2"/>
  <c r="Q139" i="2"/>
  <c r="P139" i="2"/>
  <c r="O139" i="2"/>
  <c r="N139" i="2"/>
  <c r="M139" i="2"/>
  <c r="R139" i="2" s="1"/>
  <c r="L139" i="2"/>
  <c r="S138" i="2"/>
  <c r="Q138" i="2"/>
  <c r="L138" i="2"/>
  <c r="S137" i="2"/>
  <c r="Q137" i="2"/>
  <c r="L137" i="2"/>
  <c r="S136" i="2"/>
  <c r="Q136" i="2"/>
  <c r="L136" i="2"/>
  <c r="S135" i="2"/>
  <c r="Q135" i="2"/>
  <c r="P135" i="2"/>
  <c r="O135" i="2"/>
  <c r="N135" i="2"/>
  <c r="L135" i="2"/>
  <c r="S134" i="2"/>
  <c r="Q134" i="2"/>
  <c r="P134" i="2"/>
  <c r="N134" i="2"/>
  <c r="L134" i="2"/>
  <c r="S133" i="2"/>
  <c r="Q133" i="2"/>
  <c r="L133" i="2"/>
  <c r="P133" i="2" s="1"/>
  <c r="S132" i="2"/>
  <c r="Q132" i="2"/>
  <c r="L132" i="2"/>
  <c r="S131" i="2"/>
  <c r="Q131" i="2"/>
  <c r="L131" i="2"/>
  <c r="S130" i="2"/>
  <c r="R130" i="2"/>
  <c r="Q130" i="2"/>
  <c r="P130" i="2"/>
  <c r="O130" i="2"/>
  <c r="N130" i="2"/>
  <c r="M130" i="2"/>
  <c r="L130" i="2"/>
  <c r="S129" i="2"/>
  <c r="Q129" i="2"/>
  <c r="L129" i="2"/>
  <c r="S128" i="2"/>
  <c r="R128" i="2"/>
  <c r="Q128" i="2"/>
  <c r="P128" i="2"/>
  <c r="O128" i="2"/>
  <c r="N128" i="2"/>
  <c r="L128" i="2"/>
  <c r="M128" i="2" s="1"/>
  <c r="S127" i="2"/>
  <c r="Q127" i="2"/>
  <c r="L127" i="2"/>
  <c r="S126" i="2"/>
  <c r="Q126" i="2"/>
  <c r="L126" i="2"/>
  <c r="S125" i="2"/>
  <c r="R125" i="2"/>
  <c r="Q125" i="2"/>
  <c r="P125" i="2"/>
  <c r="O125" i="2"/>
  <c r="L125" i="2"/>
  <c r="M125" i="2" s="1"/>
  <c r="S124" i="2"/>
  <c r="Q124" i="2"/>
  <c r="P124" i="2"/>
  <c r="O124" i="2"/>
  <c r="M124" i="2"/>
  <c r="L124" i="2"/>
  <c r="N124" i="2" s="1"/>
  <c r="S123" i="2"/>
  <c r="Q123" i="2"/>
  <c r="L123" i="2"/>
  <c r="S122" i="2"/>
  <c r="Q122" i="2"/>
  <c r="P122" i="2"/>
  <c r="O122" i="2"/>
  <c r="N122" i="2"/>
  <c r="L122" i="2"/>
  <c r="M122" i="2" s="1"/>
  <c r="S121" i="2"/>
  <c r="Q121" i="2"/>
  <c r="L121" i="2"/>
  <c r="S120" i="2"/>
  <c r="Q120" i="2"/>
  <c r="P120" i="2"/>
  <c r="O120" i="2"/>
  <c r="L120" i="2"/>
  <c r="N120" i="2" s="1"/>
  <c r="S119" i="2"/>
  <c r="Q119" i="2"/>
  <c r="P119" i="2"/>
  <c r="O119" i="2"/>
  <c r="M119" i="2"/>
  <c r="R119" i="2" s="1"/>
  <c r="L119" i="2"/>
  <c r="N119" i="2" s="1"/>
  <c r="S118" i="2"/>
  <c r="Q118" i="2"/>
  <c r="L118" i="2"/>
  <c r="S117" i="2"/>
  <c r="Q117" i="2"/>
  <c r="M117" i="2"/>
  <c r="L117" i="2"/>
  <c r="S116" i="2"/>
  <c r="Q116" i="2"/>
  <c r="P116" i="2"/>
  <c r="O116" i="2"/>
  <c r="N116" i="2"/>
  <c r="M116" i="2"/>
  <c r="R116" i="2" s="1"/>
  <c r="L116" i="2"/>
  <c r="S115" i="2"/>
  <c r="Q115" i="2"/>
  <c r="P115" i="2"/>
  <c r="O115" i="2"/>
  <c r="L115" i="2"/>
  <c r="S114" i="2"/>
  <c r="Q114" i="2"/>
  <c r="P114" i="2"/>
  <c r="M114" i="2"/>
  <c r="L114" i="2"/>
  <c r="S113" i="2"/>
  <c r="Q113" i="2"/>
  <c r="L113" i="2"/>
  <c r="M113" i="2" s="1"/>
  <c r="S112" i="2"/>
  <c r="Q112" i="2"/>
  <c r="P112" i="2"/>
  <c r="O112" i="2"/>
  <c r="N112" i="2"/>
  <c r="M112" i="2"/>
  <c r="L112" i="2"/>
  <c r="S111" i="2"/>
  <c r="Q111" i="2"/>
  <c r="P111" i="2"/>
  <c r="O111" i="2"/>
  <c r="M111" i="2"/>
  <c r="R111" i="2" s="1"/>
  <c r="L111" i="2"/>
  <c r="N111" i="2" s="1"/>
  <c r="S110" i="2"/>
  <c r="Q110" i="2"/>
  <c r="P110" i="2"/>
  <c r="L110" i="2"/>
  <c r="S109" i="2"/>
  <c r="Q109" i="2"/>
  <c r="L109" i="2"/>
  <c r="S108" i="2"/>
  <c r="Q108" i="2"/>
  <c r="L108" i="2"/>
  <c r="S107" i="2"/>
  <c r="Q107" i="2"/>
  <c r="P107" i="2"/>
  <c r="O107" i="2"/>
  <c r="N107" i="2"/>
  <c r="L107" i="2"/>
  <c r="R107" i="2" s="1"/>
  <c r="S106" i="2"/>
  <c r="Q106" i="2"/>
  <c r="L106" i="2"/>
  <c r="S105" i="2"/>
  <c r="Q105" i="2"/>
  <c r="L105" i="2"/>
  <c r="S104" i="2"/>
  <c r="Q104" i="2"/>
  <c r="L104" i="2"/>
  <c r="P104" i="2" s="1"/>
  <c r="S103" i="2"/>
  <c r="Q103" i="2"/>
  <c r="L103" i="2"/>
  <c r="S102" i="2"/>
  <c r="Q102" i="2"/>
  <c r="P102" i="2"/>
  <c r="O102" i="2"/>
  <c r="L102" i="2"/>
  <c r="N102" i="2" s="1"/>
  <c r="S101" i="2"/>
  <c r="Q101" i="2"/>
  <c r="L101" i="2"/>
  <c r="M101" i="2" s="1"/>
  <c r="S100" i="2"/>
  <c r="Q100" i="2"/>
  <c r="L100" i="2"/>
  <c r="S99" i="2"/>
  <c r="Q99" i="2"/>
  <c r="L99" i="2"/>
  <c r="S98" i="2"/>
  <c r="Q98" i="2"/>
  <c r="P98" i="2"/>
  <c r="O98" i="2"/>
  <c r="N98" i="2"/>
  <c r="M98" i="2"/>
  <c r="R98" i="2" s="1"/>
  <c r="L98" i="2"/>
  <c r="S97" i="2"/>
  <c r="Q97" i="2"/>
  <c r="P97" i="2"/>
  <c r="O97" i="2"/>
  <c r="L97" i="2"/>
  <c r="M97" i="2" s="1"/>
  <c r="S96" i="2"/>
  <c r="Q96" i="2"/>
  <c r="L96" i="2"/>
  <c r="M96" i="2" s="1"/>
  <c r="R96" i="2" s="1"/>
  <c r="S95" i="2"/>
  <c r="Q95" i="2"/>
  <c r="L95" i="2"/>
  <c r="S94" i="2"/>
  <c r="Q94" i="2"/>
  <c r="P94" i="2"/>
  <c r="O94" i="2"/>
  <c r="N94" i="2"/>
  <c r="M94" i="2"/>
  <c r="L94" i="2"/>
  <c r="R94" i="2" s="1"/>
  <c r="S93" i="2"/>
  <c r="Q93" i="2"/>
  <c r="P93" i="2"/>
  <c r="O93" i="2"/>
  <c r="M93" i="2"/>
  <c r="R93" i="2" s="1"/>
  <c r="L93" i="2"/>
  <c r="N93" i="2" s="1"/>
  <c r="S92" i="2"/>
  <c r="Q92" i="2"/>
  <c r="P92" i="2"/>
  <c r="M92" i="2"/>
  <c r="L92" i="2"/>
  <c r="S91" i="2"/>
  <c r="Q91" i="2"/>
  <c r="N91" i="2"/>
  <c r="M91" i="2"/>
  <c r="L91" i="2"/>
  <c r="S90" i="2"/>
  <c r="Q90" i="2"/>
  <c r="P90" i="2"/>
  <c r="O90" i="2"/>
  <c r="M90" i="2"/>
  <c r="L90" i="2"/>
  <c r="S89" i="2"/>
  <c r="Q89" i="2"/>
  <c r="P89" i="2"/>
  <c r="O89" i="2"/>
  <c r="N89" i="2"/>
  <c r="L89" i="2"/>
  <c r="S88" i="2"/>
  <c r="Q88" i="2"/>
  <c r="P88" i="2"/>
  <c r="O88" i="2"/>
  <c r="N88" i="2"/>
  <c r="L88" i="2"/>
  <c r="S87" i="2"/>
  <c r="Q87" i="2"/>
  <c r="L87" i="2"/>
  <c r="S86" i="2"/>
  <c r="Q86" i="2"/>
  <c r="O86" i="2"/>
  <c r="N86" i="2"/>
  <c r="M86" i="2"/>
  <c r="R86" i="2" s="1"/>
  <c r="L86" i="2"/>
  <c r="P86" i="2" s="1"/>
  <c r="S85" i="2"/>
  <c r="Q85" i="2"/>
  <c r="P85" i="2"/>
  <c r="O85" i="2"/>
  <c r="N85" i="2"/>
  <c r="M85" i="2"/>
  <c r="L85" i="2"/>
  <c r="R85" i="2" s="1"/>
  <c r="S84" i="2"/>
  <c r="Q84" i="2"/>
  <c r="P84" i="2"/>
  <c r="O84" i="2"/>
  <c r="L84" i="2"/>
  <c r="N84" i="2" s="1"/>
  <c r="S83" i="2"/>
  <c r="R83" i="2"/>
  <c r="Q83" i="2"/>
  <c r="P83" i="2"/>
  <c r="O83" i="2"/>
  <c r="M83" i="2"/>
  <c r="L83" i="2"/>
  <c r="N83" i="2" s="1"/>
  <c r="S82" i="2"/>
  <c r="Q82" i="2"/>
  <c r="N82" i="2"/>
  <c r="L82" i="2"/>
  <c r="S81" i="2"/>
  <c r="R81" i="2"/>
  <c r="Q81" i="2"/>
  <c r="P81" i="2"/>
  <c r="O81" i="2"/>
  <c r="M81" i="2"/>
  <c r="L81" i="2"/>
  <c r="N81" i="2" s="1"/>
  <c r="S80" i="2"/>
  <c r="Q80" i="2"/>
  <c r="P80" i="2"/>
  <c r="O80" i="2"/>
  <c r="N80" i="2"/>
  <c r="M80" i="2"/>
  <c r="R80" i="2" s="1"/>
  <c r="L80" i="2"/>
  <c r="S79" i="2"/>
  <c r="Q79" i="2"/>
  <c r="P79" i="2"/>
  <c r="O79" i="2"/>
  <c r="L79" i="2"/>
  <c r="S78" i="2"/>
  <c r="R78" i="2"/>
  <c r="Q78" i="2"/>
  <c r="M78" i="2"/>
  <c r="L78" i="2"/>
  <c r="S77" i="2"/>
  <c r="Q77" i="2"/>
  <c r="O77" i="2"/>
  <c r="L77" i="2"/>
  <c r="P77" i="2" s="1"/>
  <c r="S76" i="2"/>
  <c r="Q76" i="2"/>
  <c r="P76" i="2"/>
  <c r="O76" i="2"/>
  <c r="N76" i="2"/>
  <c r="M76" i="2"/>
  <c r="L76" i="2"/>
  <c r="S75" i="2"/>
  <c r="R75" i="2"/>
  <c r="Q75" i="2"/>
  <c r="P75" i="2"/>
  <c r="O75" i="2"/>
  <c r="M75" i="2"/>
  <c r="L75" i="2"/>
  <c r="N75" i="2" s="1"/>
  <c r="S74" i="2"/>
  <c r="Q74" i="2"/>
  <c r="L74" i="2"/>
  <c r="S73" i="2"/>
  <c r="Q73" i="2"/>
  <c r="L73" i="2"/>
  <c r="S72" i="2"/>
  <c r="Q72" i="2"/>
  <c r="M72" i="2"/>
  <c r="L72" i="2"/>
  <c r="S71" i="2"/>
  <c r="Q71" i="2"/>
  <c r="P71" i="2"/>
  <c r="O71" i="2"/>
  <c r="N71" i="2"/>
  <c r="L71" i="2"/>
  <c r="R71" i="2" s="1"/>
  <c r="S70" i="2"/>
  <c r="Q70" i="2"/>
  <c r="N70" i="2"/>
  <c r="L70" i="2"/>
  <c r="S69" i="2"/>
  <c r="Q69" i="2"/>
  <c r="L69" i="2"/>
  <c r="M69" i="2" s="1"/>
  <c r="S68" i="2"/>
  <c r="Q68" i="2"/>
  <c r="L68" i="2"/>
  <c r="S67" i="2"/>
  <c r="Q67" i="2"/>
  <c r="O67" i="2"/>
  <c r="N67" i="2"/>
  <c r="M67" i="2"/>
  <c r="L67" i="2"/>
  <c r="S66" i="2"/>
  <c r="Q66" i="2"/>
  <c r="P66" i="2"/>
  <c r="O66" i="2"/>
  <c r="L66" i="2"/>
  <c r="N66" i="2" s="1"/>
  <c r="S65" i="2"/>
  <c r="Q65" i="2"/>
  <c r="P65" i="2"/>
  <c r="O65" i="2"/>
  <c r="L65" i="2"/>
  <c r="N65" i="2" s="1"/>
  <c r="S64" i="2"/>
  <c r="Q64" i="2"/>
  <c r="L64" i="2"/>
  <c r="N64" i="2" s="1"/>
  <c r="S63" i="2"/>
  <c r="Q63" i="2"/>
  <c r="P63" i="2"/>
  <c r="O63" i="2"/>
  <c r="L63" i="2"/>
  <c r="N63" i="2" s="1"/>
  <c r="S62" i="2"/>
  <c r="Q62" i="2"/>
  <c r="P62" i="2"/>
  <c r="O62" i="2"/>
  <c r="N62" i="2"/>
  <c r="M62" i="2"/>
  <c r="R62" i="2" s="1"/>
  <c r="L62" i="2"/>
  <c r="S61" i="2"/>
  <c r="Q61" i="2"/>
  <c r="P61" i="2"/>
  <c r="L61" i="2"/>
  <c r="S60" i="2"/>
  <c r="Q60" i="2"/>
  <c r="P60" i="2"/>
  <c r="M60" i="2"/>
  <c r="R60" i="2" s="1"/>
  <c r="L60" i="2"/>
  <c r="S59" i="2"/>
  <c r="Q59" i="2"/>
  <c r="O59" i="2"/>
  <c r="M59" i="2"/>
  <c r="L59" i="2"/>
  <c r="P59" i="2" s="1"/>
  <c r="S58" i="2"/>
  <c r="Q58" i="2"/>
  <c r="P58" i="2"/>
  <c r="O58" i="2"/>
  <c r="N58" i="2"/>
  <c r="M58" i="2"/>
  <c r="L58" i="2"/>
  <c r="R58" i="2" s="1"/>
  <c r="S57" i="2"/>
  <c r="R57" i="2"/>
  <c r="Q57" i="2"/>
  <c r="P57" i="2"/>
  <c r="O57" i="2"/>
  <c r="M57" i="2"/>
  <c r="L57" i="2"/>
  <c r="N57" i="2" s="1"/>
  <c r="S56" i="2"/>
  <c r="Q56" i="2"/>
  <c r="L56" i="2"/>
  <c r="S55" i="2"/>
  <c r="Q55" i="2"/>
  <c r="L55" i="2"/>
  <c r="S54" i="2"/>
  <c r="Q54" i="2"/>
  <c r="L54" i="2"/>
  <c r="S53" i="2"/>
  <c r="Q53" i="2"/>
  <c r="P53" i="2"/>
  <c r="O53" i="2"/>
  <c r="N53" i="2"/>
  <c r="L53" i="2"/>
  <c r="S52" i="2"/>
  <c r="Q52" i="2"/>
  <c r="L52" i="2"/>
  <c r="S51" i="2"/>
  <c r="Q51" i="2"/>
  <c r="L51" i="2"/>
  <c r="S50" i="2"/>
  <c r="Q50" i="2"/>
  <c r="L50" i="2"/>
  <c r="P50" i="2" s="1"/>
  <c r="S49" i="2"/>
  <c r="Q49" i="2"/>
  <c r="M49" i="2"/>
  <c r="L49" i="2"/>
  <c r="S48" i="2"/>
  <c r="Q48" i="2"/>
  <c r="P48" i="2"/>
  <c r="O48" i="2"/>
  <c r="L48" i="2"/>
  <c r="N48" i="2" s="1"/>
  <c r="S47" i="2"/>
  <c r="Q47" i="2"/>
  <c r="O47" i="2"/>
  <c r="M47" i="2"/>
  <c r="L47" i="2"/>
  <c r="S46" i="2"/>
  <c r="Q46" i="2"/>
  <c r="L46" i="2"/>
  <c r="S45" i="2"/>
  <c r="Q45" i="2"/>
  <c r="L45" i="2"/>
  <c r="S44" i="2"/>
  <c r="Q44" i="2"/>
  <c r="P44" i="2"/>
  <c r="O44" i="2"/>
  <c r="N44" i="2"/>
  <c r="M44" i="2"/>
  <c r="R44" i="2" s="1"/>
  <c r="L44" i="2"/>
  <c r="S43" i="2"/>
  <c r="Q43" i="2"/>
  <c r="L43" i="2"/>
  <c r="S42" i="2"/>
  <c r="Q42" i="2"/>
  <c r="P42" i="2"/>
  <c r="M42" i="2"/>
  <c r="L42" i="2"/>
  <c r="S41" i="2"/>
  <c r="Q41" i="2"/>
  <c r="O41" i="2"/>
  <c r="N41" i="2"/>
  <c r="M41" i="2"/>
  <c r="R41" i="2" s="1"/>
  <c r="L41" i="2"/>
  <c r="P41" i="2" s="1"/>
  <c r="S40" i="2"/>
  <c r="Q40" i="2"/>
  <c r="P40" i="2"/>
  <c r="O40" i="2"/>
  <c r="N40" i="2"/>
  <c r="M40" i="2"/>
  <c r="L40" i="2"/>
  <c r="S39" i="2"/>
  <c r="R39" i="2"/>
  <c r="Q39" i="2"/>
  <c r="P39" i="2"/>
  <c r="O39" i="2"/>
  <c r="M39" i="2"/>
  <c r="L39" i="2"/>
  <c r="N39" i="2" s="1"/>
  <c r="S38" i="2"/>
  <c r="Q38" i="2"/>
  <c r="L38" i="2"/>
  <c r="S37" i="2"/>
  <c r="Q37" i="2"/>
  <c r="P37" i="2"/>
  <c r="N37" i="2"/>
  <c r="L37" i="2"/>
  <c r="S36" i="2"/>
  <c r="Q36" i="2"/>
  <c r="L36" i="2"/>
  <c r="S35" i="2"/>
  <c r="Q35" i="2"/>
  <c r="P35" i="2"/>
  <c r="O35" i="2"/>
  <c r="N35" i="2"/>
  <c r="L35" i="2"/>
  <c r="R35" i="2" s="1"/>
  <c r="S34" i="2"/>
  <c r="Q34" i="2"/>
  <c r="L34" i="2"/>
  <c r="S33" i="2"/>
  <c r="R33" i="2"/>
  <c r="Q33" i="2"/>
  <c r="M33" i="2"/>
  <c r="L33" i="2"/>
  <c r="S32" i="2"/>
  <c r="Q32" i="2"/>
  <c r="L32" i="2"/>
  <c r="P32" i="2" s="1"/>
  <c r="S31" i="2"/>
  <c r="Q31" i="2"/>
  <c r="P31" i="2"/>
  <c r="L31" i="2"/>
  <c r="M31" i="2" s="1"/>
  <c r="S30" i="2"/>
  <c r="Q30" i="2"/>
  <c r="P30" i="2"/>
  <c r="O30" i="2"/>
  <c r="L30" i="2"/>
  <c r="N30" i="2" s="1"/>
  <c r="S29" i="2"/>
  <c r="Q29" i="2"/>
  <c r="L29" i="2"/>
  <c r="S28" i="2"/>
  <c r="Q28" i="2"/>
  <c r="L28" i="2"/>
  <c r="S27" i="2"/>
  <c r="Q27" i="2"/>
  <c r="L27" i="2"/>
  <c r="S26" i="2"/>
  <c r="Q26" i="2"/>
  <c r="P26" i="2"/>
  <c r="O26" i="2"/>
  <c r="N26" i="2"/>
  <c r="M26" i="2"/>
  <c r="R26" i="2" s="1"/>
  <c r="L26" i="2"/>
  <c r="S25" i="2"/>
  <c r="Q25" i="2"/>
  <c r="L25" i="2"/>
  <c r="S24" i="2"/>
  <c r="Q24" i="2"/>
  <c r="L24" i="2"/>
  <c r="S23" i="2"/>
  <c r="Q23" i="2"/>
  <c r="N23" i="2"/>
  <c r="M23" i="2"/>
  <c r="R23" i="2" s="1"/>
  <c r="L23" i="2"/>
  <c r="P23" i="2" s="1"/>
  <c r="S22" i="2"/>
  <c r="Q22" i="2"/>
  <c r="P22" i="2"/>
  <c r="O22" i="2"/>
  <c r="N22" i="2"/>
  <c r="M22" i="2"/>
  <c r="L22" i="2"/>
  <c r="S21" i="2"/>
  <c r="Q21" i="2"/>
  <c r="P21" i="2"/>
  <c r="O21" i="2"/>
  <c r="M21" i="2"/>
  <c r="R21" i="2" s="1"/>
  <c r="L21" i="2"/>
  <c r="N21" i="2" s="1"/>
  <c r="S20" i="2"/>
  <c r="R20" i="2"/>
  <c r="Q20" i="2"/>
  <c r="P20" i="2"/>
  <c r="M20" i="2"/>
  <c r="L20" i="2"/>
  <c r="S19" i="2"/>
  <c r="Q19" i="2"/>
  <c r="P19" i="2"/>
  <c r="M19" i="2"/>
  <c r="L19" i="2"/>
  <c r="S18" i="2"/>
  <c r="Q18" i="2"/>
  <c r="P18" i="2"/>
  <c r="O18" i="2"/>
  <c r="M18" i="2"/>
  <c r="L18" i="2"/>
  <c r="S17" i="2"/>
  <c r="Q17" i="2"/>
  <c r="P17" i="2"/>
  <c r="O17" i="2"/>
  <c r="N17" i="2"/>
  <c r="L17" i="2"/>
  <c r="S16" i="2"/>
  <c r="Q16" i="2"/>
  <c r="P16" i="2"/>
  <c r="O16" i="2"/>
  <c r="N16" i="2"/>
  <c r="L16" i="2"/>
  <c r="S15" i="2"/>
  <c r="Q15" i="2"/>
  <c r="L15" i="2"/>
  <c r="S14" i="2"/>
  <c r="R14" i="2"/>
  <c r="Q14" i="2"/>
  <c r="O14" i="2"/>
  <c r="N14" i="2"/>
  <c r="M14" i="2"/>
  <c r="L14" i="2"/>
  <c r="P14" i="2" s="1"/>
  <c r="S13" i="2"/>
  <c r="Q13" i="2"/>
  <c r="P13" i="2"/>
  <c r="L13" i="2"/>
  <c r="S12" i="2"/>
  <c r="Q12" i="2"/>
  <c r="P12" i="2"/>
  <c r="O12" i="2"/>
  <c r="L12" i="2"/>
  <c r="N12" i="2" s="1"/>
  <c r="S11" i="2"/>
  <c r="Q11" i="2"/>
  <c r="L11" i="2"/>
  <c r="S10" i="2"/>
  <c r="Q10" i="2"/>
  <c r="N10" i="2"/>
  <c r="L10" i="2"/>
  <c r="S9" i="2"/>
  <c r="Q9" i="2"/>
  <c r="L9" i="2"/>
  <c r="S8" i="2"/>
  <c r="Q8" i="2"/>
  <c r="P8" i="2"/>
  <c r="O8" i="2"/>
  <c r="N8" i="2"/>
  <c r="M8" i="2"/>
  <c r="R8" i="2" s="1"/>
  <c r="L8" i="2"/>
  <c r="S7" i="2"/>
  <c r="Q7" i="2"/>
  <c r="L7" i="2"/>
  <c r="S6" i="2"/>
  <c r="Q6" i="2"/>
  <c r="L6" i="2"/>
  <c r="S5" i="2"/>
  <c r="Q5" i="2"/>
  <c r="L5" i="2"/>
  <c r="M5" i="2" s="1"/>
  <c r="B33" i="1"/>
  <c r="B32" i="1"/>
  <c r="B22" i="1"/>
  <c r="B21" i="1"/>
  <c r="B17" i="1"/>
  <c r="B13" i="1"/>
  <c r="B12" i="1"/>
  <c r="B11" i="1"/>
  <c r="B9" i="1"/>
  <c r="N99" i="2" l="1"/>
  <c r="P99" i="2"/>
  <c r="O99" i="2"/>
  <c r="M99" i="2"/>
  <c r="P136" i="2"/>
  <c r="O136" i="2"/>
  <c r="M136" i="2"/>
  <c r="R136" i="2" s="1"/>
  <c r="N136" i="2"/>
  <c r="O298" i="2"/>
  <c r="P298" i="2"/>
  <c r="N298" i="2"/>
  <c r="M298" i="2"/>
  <c r="R298" i="2" s="1"/>
  <c r="M237" i="2"/>
  <c r="R237" i="2" s="1"/>
  <c r="O237" i="2"/>
  <c r="N237" i="2"/>
  <c r="M282" i="2"/>
  <c r="R282" i="2" s="1"/>
  <c r="P282" i="2"/>
  <c r="N282" i="2"/>
  <c r="O282" i="2"/>
  <c r="C21" i="1"/>
  <c r="N9" i="2"/>
  <c r="P9" i="2"/>
  <c r="O9" i="2"/>
  <c r="M9" i="2"/>
  <c r="R25" i="2"/>
  <c r="N25" i="2"/>
  <c r="M25" i="2"/>
  <c r="P25" i="2"/>
  <c r="M206" i="2"/>
  <c r="R206" i="2" s="1"/>
  <c r="O206" i="2"/>
  <c r="P206" i="2"/>
  <c r="N206" i="2"/>
  <c r="R223" i="2"/>
  <c r="N223" i="2"/>
  <c r="M223" i="2"/>
  <c r="O223" i="2"/>
  <c r="P223" i="2"/>
  <c r="P237" i="2"/>
  <c r="P295" i="2"/>
  <c r="N295" i="2"/>
  <c r="O295" i="2"/>
  <c r="R506" i="2"/>
  <c r="O506" i="2"/>
  <c r="N506" i="2"/>
  <c r="P506" i="2"/>
  <c r="M506" i="2"/>
  <c r="N594" i="2"/>
  <c r="P594" i="2"/>
  <c r="O594" i="2"/>
  <c r="M594" i="2"/>
  <c r="R594" i="2" s="1"/>
  <c r="O25" i="2"/>
  <c r="N43" i="2"/>
  <c r="M43" i="2"/>
  <c r="R43" i="2" s="1"/>
  <c r="N45" i="2"/>
  <c r="R45" i="2"/>
  <c r="P45" i="2"/>
  <c r="M106" i="2"/>
  <c r="R106" i="2" s="1"/>
  <c r="P106" i="2"/>
  <c r="N106" i="2"/>
  <c r="O106" i="2"/>
  <c r="R109" i="2"/>
  <c r="O109" i="2"/>
  <c r="N109" i="2"/>
  <c r="P109" i="2"/>
  <c r="R121" i="2"/>
  <c r="P121" i="2"/>
  <c r="N121" i="2"/>
  <c r="O121" i="2"/>
  <c r="M137" i="2"/>
  <c r="P137" i="2"/>
  <c r="O137" i="2"/>
  <c r="N137" i="2"/>
  <c r="R137" i="2"/>
  <c r="P229" i="2"/>
  <c r="O229" i="2"/>
  <c r="N229" i="2"/>
  <c r="M229" i="2"/>
  <c r="R229" i="2" s="1"/>
  <c r="N256" i="2"/>
  <c r="M256" i="2"/>
  <c r="R256" i="2"/>
  <c r="O256" i="2"/>
  <c r="P256" i="2"/>
  <c r="M295" i="2"/>
  <c r="R295" i="2" s="1"/>
  <c r="M299" i="2"/>
  <c r="R299" i="2" s="1"/>
  <c r="O299" i="2"/>
  <c r="P299" i="2"/>
  <c r="N299" i="2"/>
  <c r="R312" i="2"/>
  <c r="P312" i="2"/>
  <c r="O312" i="2"/>
  <c r="N312" i="2"/>
  <c r="M312" i="2"/>
  <c r="M323" i="2"/>
  <c r="O323" i="2"/>
  <c r="R323" i="2"/>
  <c r="P323" i="2"/>
  <c r="M335" i="2"/>
  <c r="N335" i="2"/>
  <c r="P335" i="2"/>
  <c r="R335" i="2"/>
  <c r="O335" i="2"/>
  <c r="N580" i="2"/>
  <c r="P580" i="2"/>
  <c r="O580" i="2"/>
  <c r="M580" i="2"/>
  <c r="R580" i="2" s="1"/>
  <c r="R7" i="2"/>
  <c r="N7" i="2"/>
  <c r="M7" i="2"/>
  <c r="P7" i="2"/>
  <c r="O7" i="2"/>
  <c r="R9" i="2"/>
  <c r="O43" i="2"/>
  <c r="M45" i="2"/>
  <c r="P68" i="2"/>
  <c r="O68" i="2"/>
  <c r="N68" i="2"/>
  <c r="O74" i="2"/>
  <c r="N74" i="2"/>
  <c r="P74" i="2"/>
  <c r="M109" i="2"/>
  <c r="M121" i="2"/>
  <c r="P126" i="2"/>
  <c r="O126" i="2"/>
  <c r="N126" i="2"/>
  <c r="M126" i="2"/>
  <c r="R126" i="2" s="1"/>
  <c r="O171" i="2"/>
  <c r="M171" i="2"/>
  <c r="R171" i="2" s="1"/>
  <c r="N171" i="2"/>
  <c r="P171" i="2"/>
  <c r="O216" i="2"/>
  <c r="P216" i="2"/>
  <c r="R216" i="2"/>
  <c r="N216" i="2"/>
  <c r="M216" i="2"/>
  <c r="N249" i="2"/>
  <c r="O249" i="2"/>
  <c r="M249" i="2"/>
  <c r="R249" i="2"/>
  <c r="N323" i="2"/>
  <c r="O199" i="2"/>
  <c r="N199" i="2"/>
  <c r="M199" i="2"/>
  <c r="R199" i="2" s="1"/>
  <c r="P199" i="2"/>
  <c r="M388" i="2"/>
  <c r="R388" i="2" s="1"/>
  <c r="P388" i="2"/>
  <c r="N388" i="2"/>
  <c r="O388" i="2"/>
  <c r="N27" i="2"/>
  <c r="P27" i="2"/>
  <c r="M27" i="2"/>
  <c r="R27" i="2" s="1"/>
  <c r="O27" i="2"/>
  <c r="R73" i="2"/>
  <c r="O73" i="2"/>
  <c r="P73" i="2"/>
  <c r="M73" i="2"/>
  <c r="N73" i="2"/>
  <c r="O123" i="2"/>
  <c r="P123" i="2"/>
  <c r="N123" i="2"/>
  <c r="M123" i="2"/>
  <c r="R123" i="2" s="1"/>
  <c r="M189" i="2"/>
  <c r="R189" i="2" s="1"/>
  <c r="P189" i="2"/>
  <c r="O189" i="2"/>
  <c r="N189" i="2"/>
  <c r="M248" i="2"/>
  <c r="P248" i="2"/>
  <c r="O248" i="2"/>
  <c r="R248" i="2"/>
  <c r="N248" i="2"/>
  <c r="P468" i="2"/>
  <c r="M468" i="2"/>
  <c r="O468" i="2"/>
  <c r="R468" i="2"/>
  <c r="N468" i="2"/>
  <c r="N6" i="2"/>
  <c r="O6" i="2"/>
  <c r="P6" i="2"/>
  <c r="M6" i="2"/>
  <c r="B14" i="1" s="1"/>
  <c r="N108" i="2"/>
  <c r="R108" i="2"/>
  <c r="P108" i="2"/>
  <c r="O108" i="2"/>
  <c r="M108" i="2"/>
  <c r="P113" i="2"/>
  <c r="O113" i="2"/>
  <c r="R113" i="2"/>
  <c r="N113" i="2"/>
  <c r="M266" i="2"/>
  <c r="P266" i="2"/>
  <c r="O266" i="2"/>
  <c r="N266" i="2"/>
  <c r="R266" i="2"/>
  <c r="O334" i="2"/>
  <c r="P334" i="2"/>
  <c r="N334" i="2"/>
  <c r="M334" i="2"/>
  <c r="R334" i="2" s="1"/>
  <c r="P360" i="2"/>
  <c r="N360" i="2"/>
  <c r="R360" i="2"/>
  <c r="O360" i="2"/>
  <c r="R118" i="2"/>
  <c r="P118" i="2"/>
  <c r="O118" i="2"/>
  <c r="N118" i="2"/>
  <c r="M118" i="2"/>
  <c r="R99" i="2"/>
  <c r="M173" i="2"/>
  <c r="R173" i="2" s="1"/>
  <c r="P173" i="2"/>
  <c r="O173" i="2"/>
  <c r="N173" i="2"/>
  <c r="R28" i="2"/>
  <c r="P28" i="2"/>
  <c r="O28" i="2"/>
  <c r="N28" i="2"/>
  <c r="M28" i="2"/>
  <c r="P43" i="2"/>
  <c r="O45" i="2"/>
  <c r="M68" i="2"/>
  <c r="R68" i="2" s="1"/>
  <c r="M74" i="2"/>
  <c r="R74" i="2" s="1"/>
  <c r="P95" i="2"/>
  <c r="O95" i="2"/>
  <c r="N95" i="2"/>
  <c r="M95" i="2"/>
  <c r="R95" i="2" s="1"/>
  <c r="R103" i="2"/>
  <c r="P103" i="2"/>
  <c r="O103" i="2"/>
  <c r="N103" i="2"/>
  <c r="M103" i="2"/>
  <c r="O207" i="2"/>
  <c r="P207" i="2"/>
  <c r="N207" i="2"/>
  <c r="P249" i="2"/>
  <c r="M305" i="2"/>
  <c r="R305" i="2"/>
  <c r="P305" i="2"/>
  <c r="O305" i="2"/>
  <c r="N305" i="2"/>
  <c r="R91" i="2"/>
  <c r="O91" i="2"/>
  <c r="P91" i="2"/>
  <c r="M179" i="2"/>
  <c r="R179" i="2"/>
  <c r="P179" i="2"/>
  <c r="O179" i="2"/>
  <c r="N179" i="2"/>
  <c r="N192" i="2"/>
  <c r="P192" i="2"/>
  <c r="M192" i="2"/>
  <c r="R192" i="2" s="1"/>
  <c r="O192" i="2"/>
  <c r="M207" i="2"/>
  <c r="R207" i="2" s="1"/>
  <c r="M230" i="2"/>
  <c r="P230" i="2"/>
  <c r="O230" i="2"/>
  <c r="N230" i="2"/>
  <c r="R230" i="2"/>
  <c r="O313" i="2"/>
  <c r="P313" i="2"/>
  <c r="R313" i="2"/>
  <c r="N313" i="2"/>
  <c r="M313" i="2"/>
  <c r="P363" i="2"/>
  <c r="N363" i="2"/>
  <c r="M363" i="2"/>
  <c r="O363" i="2"/>
  <c r="R363" i="2"/>
  <c r="P575" i="2"/>
  <c r="M575" i="2"/>
  <c r="R575" i="2" s="1"/>
  <c r="O575" i="2"/>
  <c r="N575" i="2"/>
  <c r="N29" i="2"/>
  <c r="P29" i="2"/>
  <c r="M29" i="2"/>
  <c r="O29" i="2"/>
  <c r="P46" i="2"/>
  <c r="O46" i="2"/>
  <c r="N46" i="2"/>
  <c r="M46" i="2"/>
  <c r="R46" i="2" s="1"/>
  <c r="R55" i="2"/>
  <c r="O55" i="2"/>
  <c r="P55" i="2"/>
  <c r="N55" i="2"/>
  <c r="M55" i="2"/>
  <c r="M64" i="2"/>
  <c r="R64" i="2" s="1"/>
  <c r="N87" i="2"/>
  <c r="P87" i="2"/>
  <c r="O87" i="2"/>
  <c r="R49" i="2"/>
  <c r="P49" i="2"/>
  <c r="O49" i="2"/>
  <c r="N49" i="2"/>
  <c r="N72" i="2"/>
  <c r="R72" i="2"/>
  <c r="P72" i="2"/>
  <c r="O72" i="2"/>
  <c r="M87" i="2"/>
  <c r="R87" i="2" s="1"/>
  <c r="N117" i="2"/>
  <c r="R117" i="2"/>
  <c r="O117" i="2"/>
  <c r="P117" i="2"/>
  <c r="R228" i="2"/>
  <c r="M265" i="2"/>
  <c r="R265" i="2" s="1"/>
  <c r="O265" i="2"/>
  <c r="P265" i="2"/>
  <c r="N265" i="2"/>
  <c r="M314" i="2"/>
  <c r="R314" i="2" s="1"/>
  <c r="O314" i="2"/>
  <c r="P314" i="2"/>
  <c r="N314" i="2"/>
  <c r="P348" i="2"/>
  <c r="R348" i="2"/>
  <c r="O348" i="2"/>
  <c r="N348" i="2"/>
  <c r="M348" i="2"/>
  <c r="O546" i="2"/>
  <c r="N546" i="2"/>
  <c r="M546" i="2"/>
  <c r="R546" i="2"/>
  <c r="P546" i="2"/>
  <c r="P64" i="2"/>
  <c r="O64" i="2"/>
  <c r="N101" i="2"/>
  <c r="R101" i="2"/>
  <c r="P101" i="2"/>
  <c r="O101" i="2"/>
  <c r="P127" i="2"/>
  <c r="O127" i="2"/>
  <c r="M127" i="2"/>
  <c r="R127" i="2" s="1"/>
  <c r="N127" i="2"/>
  <c r="O217" i="2"/>
  <c r="P217" i="2"/>
  <c r="N217" i="2"/>
  <c r="R217" i="2"/>
  <c r="M217" i="2"/>
  <c r="P316" i="2"/>
  <c r="N316" i="2"/>
  <c r="O316" i="2"/>
  <c r="M316" i="2"/>
  <c r="R316" i="2"/>
  <c r="P5" i="2"/>
  <c r="C32" i="1"/>
  <c r="R5" i="2"/>
  <c r="B10" i="1"/>
  <c r="B16" i="1" s="1"/>
  <c r="C22" i="1"/>
  <c r="O5" i="2"/>
  <c r="N5" i="2"/>
  <c r="N11" i="2"/>
  <c r="P11" i="2"/>
  <c r="O11" i="2"/>
  <c r="M11" i="2"/>
  <c r="R11" i="2" s="1"/>
  <c r="N24" i="2"/>
  <c r="O24" i="2"/>
  <c r="P24" i="2"/>
  <c r="R29" i="2"/>
  <c r="O276" i="2"/>
  <c r="N276" i="2"/>
  <c r="R276" i="2"/>
  <c r="P276" i="2"/>
  <c r="M276" i="2"/>
  <c r="M281" i="2"/>
  <c r="P281" i="2"/>
  <c r="O281" i="2"/>
  <c r="R281" i="2"/>
  <c r="N281" i="2"/>
  <c r="M290" i="2"/>
  <c r="O290" i="2"/>
  <c r="P290" i="2"/>
  <c r="N290" i="2"/>
  <c r="R290" i="2"/>
  <c r="M24" i="2"/>
  <c r="R24" i="2" s="1"/>
  <c r="N47" i="2"/>
  <c r="R47" i="2"/>
  <c r="P47" i="2"/>
  <c r="R70" i="2"/>
  <c r="M70" i="2"/>
  <c r="P70" i="2"/>
  <c r="O70" i="2"/>
  <c r="N156" i="2"/>
  <c r="P156" i="2"/>
  <c r="O156" i="2"/>
  <c r="M156" i="2"/>
  <c r="R156" i="2" s="1"/>
  <c r="P177" i="2"/>
  <c r="M188" i="2"/>
  <c r="R188" i="2" s="1"/>
  <c r="P188" i="2"/>
  <c r="O188" i="2"/>
  <c r="P258" i="2"/>
  <c r="P280" i="2"/>
  <c r="R280" i="2"/>
  <c r="O280" i="2"/>
  <c r="R301" i="2"/>
  <c r="N301" i="2"/>
  <c r="M301" i="2"/>
  <c r="P345" i="2"/>
  <c r="N345" i="2"/>
  <c r="M345" i="2"/>
  <c r="R345" i="2" s="1"/>
  <c r="O345" i="2"/>
  <c r="P414" i="2"/>
  <c r="M414" i="2"/>
  <c r="O414" i="2"/>
  <c r="N414" i="2"/>
  <c r="N544" i="2"/>
  <c r="R544" i="2"/>
  <c r="P544" i="2"/>
  <c r="O544" i="2"/>
  <c r="M544" i="2"/>
  <c r="R586" i="2"/>
  <c r="N586" i="2"/>
  <c r="O586" i="2"/>
  <c r="M586" i="2"/>
  <c r="P586" i="2"/>
  <c r="R13" i="2"/>
  <c r="C33" i="1"/>
  <c r="M34" i="2"/>
  <c r="R34" i="2" s="1"/>
  <c r="N36" i="2"/>
  <c r="O38" i="2"/>
  <c r="N38" i="2"/>
  <c r="N51" i="2"/>
  <c r="P51" i="2"/>
  <c r="O51" i="2"/>
  <c r="N105" i="2"/>
  <c r="P105" i="2"/>
  <c r="M105" i="2"/>
  <c r="O105" i="2"/>
  <c r="M129" i="2"/>
  <c r="R129" i="2" s="1"/>
  <c r="M167" i="2"/>
  <c r="N167" i="2"/>
  <c r="R167" i="2"/>
  <c r="P169" i="2"/>
  <c r="O169" i="2"/>
  <c r="M177" i="2"/>
  <c r="R177" i="2" s="1"/>
  <c r="M182" i="2"/>
  <c r="R182" i="2"/>
  <c r="O184" i="2"/>
  <c r="P184" i="2"/>
  <c r="N184" i="2"/>
  <c r="M184" i="2"/>
  <c r="R184" i="2" s="1"/>
  <c r="N188" i="2"/>
  <c r="M197" i="2"/>
  <c r="R197" i="2"/>
  <c r="P197" i="2"/>
  <c r="M258" i="2"/>
  <c r="R258" i="2" s="1"/>
  <c r="M280" i="2"/>
  <c r="M287" i="2"/>
  <c r="R287" i="2"/>
  <c r="P287" i="2"/>
  <c r="O301" i="2"/>
  <c r="R352" i="2"/>
  <c r="N352" i="2"/>
  <c r="P352" i="2"/>
  <c r="O352" i="2"/>
  <c r="M352" i="2"/>
  <c r="P412" i="2"/>
  <c r="O412" i="2"/>
  <c r="N412" i="2"/>
  <c r="P457" i="2"/>
  <c r="O457" i="2"/>
  <c r="M457" i="2"/>
  <c r="N457" i="2"/>
  <c r="N493" i="2"/>
  <c r="M493" i="2"/>
  <c r="R493" i="2" s="1"/>
  <c r="P493" i="2"/>
  <c r="O133" i="2"/>
  <c r="N133" i="2"/>
  <c r="M133" i="2"/>
  <c r="R154" i="2"/>
  <c r="P154" i="2"/>
  <c r="M215" i="2"/>
  <c r="R215" i="2" s="1"/>
  <c r="P215" i="2"/>
  <c r="N289" i="2"/>
  <c r="P289" i="2"/>
  <c r="O289" i="2"/>
  <c r="M13" i="2"/>
  <c r="R19" i="2"/>
  <c r="O19" i="2"/>
  <c r="M32" i="2"/>
  <c r="R32" i="2" s="1"/>
  <c r="N34" i="2"/>
  <c r="M36" i="2"/>
  <c r="R36" i="2" s="1"/>
  <c r="M38" i="2"/>
  <c r="R38" i="2" s="1"/>
  <c r="M51" i="2"/>
  <c r="N78" i="2"/>
  <c r="O78" i="2"/>
  <c r="N129" i="2"/>
  <c r="M146" i="2"/>
  <c r="R146" i="2" s="1"/>
  <c r="O146" i="2"/>
  <c r="P146" i="2"/>
  <c r="N154" i="2"/>
  <c r="O165" i="2"/>
  <c r="N165" i="2"/>
  <c r="O167" i="2"/>
  <c r="M169" i="2"/>
  <c r="N177" i="2"/>
  <c r="N180" i="2"/>
  <c r="M180" i="2"/>
  <c r="N182" i="2"/>
  <c r="N197" i="2"/>
  <c r="O215" i="2"/>
  <c r="M254" i="2"/>
  <c r="R254" i="2" s="1"/>
  <c r="P254" i="2"/>
  <c r="O254" i="2"/>
  <c r="N258" i="2"/>
  <c r="O267" i="2"/>
  <c r="M267" i="2"/>
  <c r="R267" i="2" s="1"/>
  <c r="N267" i="2"/>
  <c r="M269" i="2"/>
  <c r="R269" i="2" s="1"/>
  <c r="P269" i="2"/>
  <c r="N280" i="2"/>
  <c r="N285" i="2"/>
  <c r="R285" i="2"/>
  <c r="N287" i="2"/>
  <c r="P301" i="2"/>
  <c r="P330" i="2"/>
  <c r="O330" i="2"/>
  <c r="N330" i="2"/>
  <c r="M330" i="2"/>
  <c r="M412" i="2"/>
  <c r="R412" i="2" s="1"/>
  <c r="R414" i="2"/>
  <c r="R482" i="2"/>
  <c r="P482" i="2"/>
  <c r="O482" i="2"/>
  <c r="O493" i="2"/>
  <c r="M509" i="2"/>
  <c r="R509" i="2" s="1"/>
  <c r="P509" i="2"/>
  <c r="O528" i="2"/>
  <c r="N528" i="2"/>
  <c r="M528" i="2"/>
  <c r="R528" i="2"/>
  <c r="N535" i="2"/>
  <c r="O535" i="2"/>
  <c r="M535" i="2"/>
  <c r="P535" i="2"/>
  <c r="R535" i="2"/>
  <c r="P549" i="2"/>
  <c r="O549" i="2"/>
  <c r="R549" i="2"/>
  <c r="N549" i="2"/>
  <c r="N595" i="2"/>
  <c r="P595" i="2"/>
  <c r="M595" i="2"/>
  <c r="R595" i="2" s="1"/>
  <c r="N15" i="2"/>
  <c r="P15" i="2"/>
  <c r="O15" i="2"/>
  <c r="N32" i="2"/>
  <c r="O34" i="2"/>
  <c r="O36" i="2"/>
  <c r="P38" i="2"/>
  <c r="O129" i="2"/>
  <c r="M140" i="2"/>
  <c r="P140" i="2"/>
  <c r="M161" i="2"/>
  <c r="R161" i="2" s="1"/>
  <c r="P161" i="2"/>
  <c r="O161" i="2"/>
  <c r="N161" i="2"/>
  <c r="O177" i="2"/>
  <c r="O182" i="2"/>
  <c r="O197" i="2"/>
  <c r="O231" i="2"/>
  <c r="N231" i="2"/>
  <c r="M231" i="2"/>
  <c r="R231" i="2" s="1"/>
  <c r="M235" i="2"/>
  <c r="O235" i="2"/>
  <c r="P235" i="2"/>
  <c r="N235" i="2"/>
  <c r="O258" i="2"/>
  <c r="O287" i="2"/>
  <c r="R289" i="2"/>
  <c r="M296" i="2"/>
  <c r="N296" i="2"/>
  <c r="R296" i="2"/>
  <c r="P296" i="2"/>
  <c r="M317" i="2"/>
  <c r="P317" i="2"/>
  <c r="O317" i="2"/>
  <c r="N317" i="2"/>
  <c r="P390" i="2"/>
  <c r="O390" i="2"/>
  <c r="N390" i="2"/>
  <c r="R390" i="2"/>
  <c r="M390" i="2"/>
  <c r="P429" i="2"/>
  <c r="M429" i="2"/>
  <c r="R429" i="2" s="1"/>
  <c r="N445" i="2"/>
  <c r="M445" i="2"/>
  <c r="R445" i="2"/>
  <c r="P447" i="2"/>
  <c r="N447" i="2"/>
  <c r="R457" i="2"/>
  <c r="O595" i="2"/>
  <c r="N13" i="2"/>
  <c r="N61" i="2"/>
  <c r="M61" i="2"/>
  <c r="R61" i="2" s="1"/>
  <c r="P82" i="2"/>
  <c r="O82" i="2"/>
  <c r="R105" i="2"/>
  <c r="M131" i="2"/>
  <c r="R131" i="2" s="1"/>
  <c r="N131" i="2"/>
  <c r="P131" i="2"/>
  <c r="R133" i="2"/>
  <c r="O138" i="2"/>
  <c r="N138" i="2"/>
  <c r="M138" i="2"/>
  <c r="R138" i="2" s="1"/>
  <c r="O154" i="2"/>
  <c r="O159" i="2"/>
  <c r="O13" i="2"/>
  <c r="M15" i="2"/>
  <c r="R15" i="2" s="1"/>
  <c r="N19" i="2"/>
  <c r="O32" i="2"/>
  <c r="P34" i="2"/>
  <c r="P36" i="2"/>
  <c r="N42" i="2"/>
  <c r="O42" i="2"/>
  <c r="R51" i="2"/>
  <c r="N59" i="2"/>
  <c r="O61" i="2"/>
  <c r="M63" i="2"/>
  <c r="R63" i="2" s="1"/>
  <c r="M65" i="2"/>
  <c r="R65" i="2" s="1"/>
  <c r="R67" i="2"/>
  <c r="P78" i="2"/>
  <c r="M82" i="2"/>
  <c r="R82" i="2" s="1"/>
  <c r="M88" i="2"/>
  <c r="R88" i="2" s="1"/>
  <c r="N90" i="2"/>
  <c r="R90" i="2"/>
  <c r="O92" i="2"/>
  <c r="N92" i="2"/>
  <c r="O110" i="2"/>
  <c r="M110" i="2"/>
  <c r="R110" i="2" s="1"/>
  <c r="N110" i="2"/>
  <c r="N114" i="2"/>
  <c r="O114" i="2"/>
  <c r="P129" i="2"/>
  <c r="O131" i="2"/>
  <c r="P138" i="2"/>
  <c r="N140" i="2"/>
  <c r="M159" i="2"/>
  <c r="R159" i="2" s="1"/>
  <c r="P165" i="2"/>
  <c r="O174" i="2"/>
  <c r="P174" i="2"/>
  <c r="P180" i="2"/>
  <c r="P182" i="2"/>
  <c r="R193" i="2"/>
  <c r="O193" i="2"/>
  <c r="N193" i="2"/>
  <c r="N208" i="2"/>
  <c r="M208" i="2"/>
  <c r="M218" i="2"/>
  <c r="R218" i="2" s="1"/>
  <c r="O218" i="2"/>
  <c r="N218" i="2"/>
  <c r="P231" i="2"/>
  <c r="M233" i="2"/>
  <c r="R233" i="2"/>
  <c r="P233" i="2"/>
  <c r="M263" i="2"/>
  <c r="R263" i="2" s="1"/>
  <c r="O263" i="2"/>
  <c r="O269" i="2"/>
  <c r="O285" i="2"/>
  <c r="O296" i="2"/>
  <c r="P306" i="2"/>
  <c r="O306" i="2"/>
  <c r="N306" i="2"/>
  <c r="M326" i="2"/>
  <c r="O326" i="2"/>
  <c r="R326" i="2"/>
  <c r="R330" i="2"/>
  <c r="N429" i="2"/>
  <c r="P435" i="2"/>
  <c r="O435" i="2"/>
  <c r="N435" i="2"/>
  <c r="M435" i="2"/>
  <c r="R435" i="2" s="1"/>
  <c r="O445" i="2"/>
  <c r="M447" i="2"/>
  <c r="R447" i="2" s="1"/>
  <c r="N482" i="2"/>
  <c r="O509" i="2"/>
  <c r="N523" i="2"/>
  <c r="P523" i="2"/>
  <c r="O523" i="2"/>
  <c r="M523" i="2"/>
  <c r="R523" i="2" s="1"/>
  <c r="O560" i="2"/>
  <c r="N560" i="2"/>
  <c r="M560" i="2"/>
  <c r="R560" i="2" s="1"/>
  <c r="P560" i="2"/>
  <c r="P590" i="2"/>
  <c r="M590" i="2"/>
  <c r="R590" i="2" s="1"/>
  <c r="N54" i="2"/>
  <c r="M178" i="2"/>
  <c r="P178" i="2"/>
  <c r="O178" i="2"/>
  <c r="P198" i="2"/>
  <c r="O198" i="2"/>
  <c r="N198" i="2"/>
  <c r="M212" i="2"/>
  <c r="R212" i="2" s="1"/>
  <c r="P212" i="2"/>
  <c r="N212" i="2"/>
  <c r="O212" i="2"/>
  <c r="N222" i="2"/>
  <c r="O222" i="2"/>
  <c r="P222" i="2"/>
  <c r="M227" i="2"/>
  <c r="O227" i="2"/>
  <c r="N227" i="2"/>
  <c r="O241" i="2"/>
  <c r="R241" i="2"/>
  <c r="R261" i="2"/>
  <c r="N261" i="2"/>
  <c r="M261" i="2"/>
  <c r="O288" i="2"/>
  <c r="P288" i="2"/>
  <c r="P357" i="2"/>
  <c r="R357" i="2"/>
  <c r="O357" i="2"/>
  <c r="O454" i="2"/>
  <c r="N454" i="2"/>
  <c r="R454" i="2"/>
  <c r="N550" i="2"/>
  <c r="R550" i="2"/>
  <c r="M550" i="2"/>
  <c r="P555" i="2"/>
  <c r="M555" i="2"/>
  <c r="R555" i="2"/>
  <c r="O555" i="2"/>
  <c r="N588" i="2"/>
  <c r="M588" i="2"/>
  <c r="R588" i="2"/>
  <c r="O23" i="2"/>
  <c r="R100" i="2"/>
  <c r="P100" i="2"/>
  <c r="O100" i="2"/>
  <c r="N100" i="2"/>
  <c r="M104" i="2"/>
  <c r="R104" i="2" s="1"/>
  <c r="R132" i="2"/>
  <c r="O132" i="2"/>
  <c r="N132" i="2"/>
  <c r="R140" i="2"/>
  <c r="N147" i="2"/>
  <c r="M147" i="2"/>
  <c r="R147" i="2" s="1"/>
  <c r="M170" i="2"/>
  <c r="O170" i="2"/>
  <c r="P170" i="2"/>
  <c r="N170" i="2"/>
  <c r="N178" i="2"/>
  <c r="P183" i="2"/>
  <c r="O183" i="2"/>
  <c r="P187" i="2"/>
  <c r="R187" i="2"/>
  <c r="O187" i="2"/>
  <c r="M198" i="2"/>
  <c r="P202" i="2"/>
  <c r="O202" i="2"/>
  <c r="N202" i="2"/>
  <c r="M222" i="2"/>
  <c r="R222" i="2" s="1"/>
  <c r="P227" i="2"/>
  <c r="M236" i="2"/>
  <c r="R236" i="2"/>
  <c r="P236" i="2"/>
  <c r="O236" i="2"/>
  <c r="N236" i="2"/>
  <c r="M241" i="2"/>
  <c r="P255" i="2"/>
  <c r="N255" i="2"/>
  <c r="O255" i="2"/>
  <c r="M255" i="2"/>
  <c r="R255" i="2" s="1"/>
  <c r="O261" i="2"/>
  <c r="M288" i="2"/>
  <c r="R288" i="2" s="1"/>
  <c r="M297" i="2"/>
  <c r="R297" i="2" s="1"/>
  <c r="N297" i="2"/>
  <c r="P297" i="2"/>
  <c r="M318" i="2"/>
  <c r="R318" i="2" s="1"/>
  <c r="N318" i="2"/>
  <c r="P318" i="2"/>
  <c r="O318" i="2"/>
  <c r="M342" i="2"/>
  <c r="R342" i="2" s="1"/>
  <c r="P342" i="2"/>
  <c r="M357" i="2"/>
  <c r="M454" i="2"/>
  <c r="R521" i="2"/>
  <c r="P521" i="2"/>
  <c r="O521" i="2"/>
  <c r="N521" i="2"/>
  <c r="M521" i="2"/>
  <c r="N541" i="2"/>
  <c r="P541" i="2"/>
  <c r="O541" i="2"/>
  <c r="M541" i="2"/>
  <c r="R541" i="2"/>
  <c r="O550" i="2"/>
  <c r="N555" i="2"/>
  <c r="M563" i="2"/>
  <c r="R563" i="2" s="1"/>
  <c r="P563" i="2"/>
  <c r="O563" i="2"/>
  <c r="O588" i="2"/>
  <c r="R31" i="2"/>
  <c r="R52" i="2"/>
  <c r="M52" i="2"/>
  <c r="O56" i="2"/>
  <c r="N56" i="2"/>
  <c r="N69" i="2"/>
  <c r="P69" i="2"/>
  <c r="O69" i="2"/>
  <c r="N96" i="2"/>
  <c r="O96" i="2"/>
  <c r="M149" i="2"/>
  <c r="R149" i="2" s="1"/>
  <c r="M155" i="2"/>
  <c r="P155" i="2"/>
  <c r="O155" i="2"/>
  <c r="P259" i="2"/>
  <c r="O259" i="2"/>
  <c r="N331" i="2"/>
  <c r="P331" i="2"/>
  <c r="O331" i="2"/>
  <c r="M331" i="2"/>
  <c r="R331" i="2" s="1"/>
  <c r="R10" i="2"/>
  <c r="P10" i="2"/>
  <c r="O10" i="2"/>
  <c r="R37" i="2"/>
  <c r="O37" i="2"/>
  <c r="M50" i="2"/>
  <c r="R50" i="2" s="1"/>
  <c r="N52" i="2"/>
  <c r="M54" i="2"/>
  <c r="R54" i="2" s="1"/>
  <c r="M56" i="2"/>
  <c r="R56" i="2" s="1"/>
  <c r="R59" i="2"/>
  <c r="M10" i="2"/>
  <c r="M16" i="2"/>
  <c r="R16" i="2" s="1"/>
  <c r="N18" i="2"/>
  <c r="R18" i="2"/>
  <c r="O20" i="2"/>
  <c r="N20" i="2"/>
  <c r="N31" i="2"/>
  <c r="N33" i="2"/>
  <c r="P33" i="2"/>
  <c r="O33" i="2"/>
  <c r="M37" i="2"/>
  <c r="R42" i="2"/>
  <c r="N50" i="2"/>
  <c r="O52" i="2"/>
  <c r="O54" i="2"/>
  <c r="P56" i="2"/>
  <c r="P67" i="2"/>
  <c r="M77" i="2"/>
  <c r="R77" i="2" s="1"/>
  <c r="R79" i="2"/>
  <c r="N79" i="2"/>
  <c r="M79" i="2"/>
  <c r="R92" i="2"/>
  <c r="P96" i="2"/>
  <c r="M100" i="2"/>
  <c r="N104" i="2"/>
  <c r="R114" i="2"/>
  <c r="M132" i="2"/>
  <c r="N145" i="2"/>
  <c r="P145" i="2"/>
  <c r="O147" i="2"/>
  <c r="O149" i="2"/>
  <c r="P151" i="2"/>
  <c r="O151" i="2"/>
  <c r="N151" i="2"/>
  <c r="M151" i="2"/>
  <c r="R151" i="2" s="1"/>
  <c r="R174" i="2"/>
  <c r="M183" i="2"/>
  <c r="M187" i="2"/>
  <c r="M202" i="2"/>
  <c r="R202" i="2" s="1"/>
  <c r="R208" i="2"/>
  <c r="N241" i="2"/>
  <c r="R253" i="2"/>
  <c r="P253" i="2"/>
  <c r="N259" i="2"/>
  <c r="P261" i="2"/>
  <c r="R286" i="2"/>
  <c r="M286" i="2"/>
  <c r="P286" i="2"/>
  <c r="N288" i="2"/>
  <c r="O297" i="2"/>
  <c r="O340" i="2"/>
  <c r="R340" i="2"/>
  <c r="N342" i="2"/>
  <c r="M344" i="2"/>
  <c r="R344" i="2" s="1"/>
  <c r="O344" i="2"/>
  <c r="P344" i="2"/>
  <c r="N344" i="2"/>
  <c r="N357" i="2"/>
  <c r="R376" i="2"/>
  <c r="P376" i="2"/>
  <c r="P405" i="2"/>
  <c r="N405" i="2"/>
  <c r="M405" i="2"/>
  <c r="R405" i="2"/>
  <c r="N409" i="2"/>
  <c r="M409" i="2"/>
  <c r="O409" i="2"/>
  <c r="R409" i="2"/>
  <c r="O436" i="2"/>
  <c r="N436" i="2"/>
  <c r="P436" i="2"/>
  <c r="P450" i="2"/>
  <c r="M450" i="2"/>
  <c r="R450" i="2"/>
  <c r="P454" i="2"/>
  <c r="P503" i="2"/>
  <c r="M503" i="2"/>
  <c r="R503" i="2" s="1"/>
  <c r="P550" i="2"/>
  <c r="P588" i="2"/>
  <c r="O31" i="2"/>
  <c r="O50" i="2"/>
  <c r="P52" i="2"/>
  <c r="P54" i="2"/>
  <c r="N60" i="2"/>
  <c r="O60" i="2"/>
  <c r="R69" i="2"/>
  <c r="N77" i="2"/>
  <c r="O104" i="2"/>
  <c r="R122" i="2"/>
  <c r="R124" i="2"/>
  <c r="P132" i="2"/>
  <c r="P141" i="2"/>
  <c r="O141" i="2"/>
  <c r="N141" i="2"/>
  <c r="P147" i="2"/>
  <c r="P149" i="2"/>
  <c r="R155" i="2"/>
  <c r="P160" i="2"/>
  <c r="O160" i="2"/>
  <c r="R170" i="2"/>
  <c r="R178" i="2"/>
  <c r="N183" i="2"/>
  <c r="N187" i="2"/>
  <c r="M194" i="2"/>
  <c r="R194" i="2" s="1"/>
  <c r="P194" i="2"/>
  <c r="O194" i="2"/>
  <c r="N194" i="2"/>
  <c r="R198" i="2"/>
  <c r="R227" i="2"/>
  <c r="P234" i="2"/>
  <c r="O234" i="2"/>
  <c r="P241" i="2"/>
  <c r="N286" i="2"/>
  <c r="P291" i="2"/>
  <c r="O291" i="2"/>
  <c r="N291" i="2"/>
  <c r="M291" i="2"/>
  <c r="R291" i="2" s="1"/>
  <c r="N300" i="2"/>
  <c r="R300" i="2"/>
  <c r="P300" i="2"/>
  <c r="M300" i="2"/>
  <c r="O300" i="2"/>
  <c r="M307" i="2"/>
  <c r="P307" i="2"/>
  <c r="N307" i="2"/>
  <c r="O307" i="2"/>
  <c r="M329" i="2"/>
  <c r="R329" i="2" s="1"/>
  <c r="O329" i="2"/>
  <c r="P329" i="2"/>
  <c r="M336" i="2"/>
  <c r="R336" i="2" s="1"/>
  <c r="M338" i="2"/>
  <c r="O338" i="2"/>
  <c r="R338" i="2"/>
  <c r="M340" i="2"/>
  <c r="O342" i="2"/>
  <c r="O364" i="2"/>
  <c r="N364" i="2"/>
  <c r="P364" i="2"/>
  <c r="M364" i="2"/>
  <c r="R364" i="2" s="1"/>
  <c r="P372" i="2"/>
  <c r="O372" i="2"/>
  <c r="N372" i="2"/>
  <c r="M376" i="2"/>
  <c r="P378" i="2"/>
  <c r="O378" i="2"/>
  <c r="R378" i="2"/>
  <c r="N378" i="2"/>
  <c r="P399" i="2"/>
  <c r="O399" i="2"/>
  <c r="R399" i="2"/>
  <c r="O405" i="2"/>
  <c r="P409" i="2"/>
  <c r="M436" i="2"/>
  <c r="R436" i="2" s="1"/>
  <c r="N450" i="2"/>
  <c r="N503" i="2"/>
  <c r="P585" i="2"/>
  <c r="O585" i="2"/>
  <c r="N585" i="2"/>
  <c r="M585" i="2"/>
  <c r="R585" i="2" s="1"/>
  <c r="N597" i="2"/>
  <c r="R597" i="2"/>
  <c r="P597" i="2"/>
  <c r="O597" i="2"/>
  <c r="R250" i="2"/>
  <c r="N250" i="2"/>
  <c r="P459" i="2"/>
  <c r="N459" i="2"/>
  <c r="M459" i="2"/>
  <c r="O459" i="2"/>
  <c r="N511" i="2"/>
  <c r="R511" i="2"/>
  <c r="M511" i="2"/>
  <c r="P578" i="2"/>
  <c r="N578" i="2"/>
  <c r="O578" i="2"/>
  <c r="N583" i="2"/>
  <c r="P583" i="2"/>
  <c r="M583" i="2"/>
  <c r="R583" i="2" s="1"/>
  <c r="R593" i="2"/>
  <c r="P593" i="2"/>
  <c r="O593" i="2"/>
  <c r="M593" i="2"/>
  <c r="O596" i="2"/>
  <c r="N596" i="2"/>
  <c r="M596" i="2"/>
  <c r="R596" i="2" s="1"/>
  <c r="P596" i="2"/>
  <c r="M209" i="2"/>
  <c r="R209" i="2" s="1"/>
  <c r="P209" i="2"/>
  <c r="M226" i="2"/>
  <c r="R226" i="2" s="1"/>
  <c r="M277" i="2"/>
  <c r="M309" i="2"/>
  <c r="R309" i="2" s="1"/>
  <c r="N320" i="2"/>
  <c r="O373" i="2"/>
  <c r="P373" i="2"/>
  <c r="O382" i="2"/>
  <c r="N382" i="2"/>
  <c r="R382" i="2"/>
  <c r="P382" i="2"/>
  <c r="P396" i="2"/>
  <c r="M396" i="2"/>
  <c r="R396" i="2" s="1"/>
  <c r="N396" i="2"/>
  <c r="O400" i="2"/>
  <c r="N400" i="2"/>
  <c r="R400" i="2"/>
  <c r="M421" i="2"/>
  <c r="R421" i="2" s="1"/>
  <c r="P465" i="2"/>
  <c r="R465" i="2"/>
  <c r="P471" i="2"/>
  <c r="O471" i="2"/>
  <c r="P475" i="2"/>
  <c r="N475" i="2"/>
  <c r="O511" i="2"/>
  <c r="N517" i="2"/>
  <c r="R517" i="2"/>
  <c r="N553" i="2"/>
  <c r="P553" i="2"/>
  <c r="M553" i="2"/>
  <c r="R553" i="2" s="1"/>
  <c r="N571" i="2"/>
  <c r="P571" i="2"/>
  <c r="M578" i="2"/>
  <c r="R578" i="2" s="1"/>
  <c r="O583" i="2"/>
  <c r="N593" i="2"/>
  <c r="R97" i="2"/>
  <c r="R115" i="2"/>
  <c r="R204" i="2"/>
  <c r="M224" i="2"/>
  <c r="R224" i="2" s="1"/>
  <c r="N224" i="2"/>
  <c r="N238" i="2"/>
  <c r="R238" i="2"/>
  <c r="M302" i="2"/>
  <c r="R302" i="2" s="1"/>
  <c r="P302" i="2"/>
  <c r="R491" i="2"/>
  <c r="M491" i="2"/>
  <c r="M115" i="2"/>
  <c r="M143" i="2"/>
  <c r="R143" i="2"/>
  <c r="M166" i="2"/>
  <c r="R166" i="2" s="1"/>
  <c r="O224" i="2"/>
  <c r="M245" i="2"/>
  <c r="R245" i="2" s="1"/>
  <c r="O245" i="2"/>
  <c r="M250" i="2"/>
  <c r="M262" i="2"/>
  <c r="R262" i="2" s="1"/>
  <c r="M272" i="2"/>
  <c r="R272" i="2"/>
  <c r="M367" i="2"/>
  <c r="R367" i="2" s="1"/>
  <c r="P599" i="2"/>
  <c r="M12" i="2"/>
  <c r="R12" i="2" s="1"/>
  <c r="M17" i="2"/>
  <c r="R17" i="2" s="1"/>
  <c r="R22" i="2"/>
  <c r="M30" i="2"/>
  <c r="R30" i="2" s="1"/>
  <c r="M35" i="2"/>
  <c r="R40" i="2"/>
  <c r="M48" i="2"/>
  <c r="R48" i="2" s="1"/>
  <c r="M53" i="2"/>
  <c r="R53" i="2" s="1"/>
  <c r="M66" i="2"/>
  <c r="R66" i="2" s="1"/>
  <c r="M71" i="2"/>
  <c r="R76" i="2"/>
  <c r="M84" i="2"/>
  <c r="R84" i="2" s="1"/>
  <c r="M89" i="2"/>
  <c r="R89" i="2" s="1"/>
  <c r="N97" i="2"/>
  <c r="M102" i="2"/>
  <c r="R102" i="2" s="1"/>
  <c r="M107" i="2"/>
  <c r="R112" i="2"/>
  <c r="N115" i="2"/>
  <c r="M120" i="2"/>
  <c r="R120" i="2" s="1"/>
  <c r="N125" i="2"/>
  <c r="M135" i="2"/>
  <c r="R135" i="2" s="1"/>
  <c r="N143" i="2"/>
  <c r="M148" i="2"/>
  <c r="R148" i="2" s="1"/>
  <c r="N153" i="2"/>
  <c r="N158" i="2"/>
  <c r="M163" i="2"/>
  <c r="R163" i="2" s="1"/>
  <c r="N166" i="2"/>
  <c r="R168" i="2"/>
  <c r="N176" i="2"/>
  <c r="M181" i="2"/>
  <c r="R181" i="2" s="1"/>
  <c r="M196" i="2"/>
  <c r="R196" i="2" s="1"/>
  <c r="N204" i="2"/>
  <c r="N209" i="2"/>
  <c r="P224" i="2"/>
  <c r="N226" i="2"/>
  <c r="M228" i="2"/>
  <c r="O238" i="2"/>
  <c r="M240" i="2"/>
  <c r="R240" i="2" s="1"/>
  <c r="N245" i="2"/>
  <c r="O250" i="2"/>
  <c r="N262" i="2"/>
  <c r="N272" i="2"/>
  <c r="N277" i="2"/>
  <c r="N284" i="2"/>
  <c r="O302" i="2"/>
  <c r="N309" i="2"/>
  <c r="O320" i="2"/>
  <c r="M322" i="2"/>
  <c r="R322" i="2" s="1"/>
  <c r="M333" i="2"/>
  <c r="R333" i="2" s="1"/>
  <c r="R337" i="2"/>
  <c r="M337" i="2"/>
  <c r="P339" i="2"/>
  <c r="R339" i="2"/>
  <c r="M358" i="2"/>
  <c r="R358" i="2" s="1"/>
  <c r="N367" i="2"/>
  <c r="P369" i="2"/>
  <c r="N369" i="2"/>
  <c r="M369" i="2"/>
  <c r="R369" i="2" s="1"/>
  <c r="M373" i="2"/>
  <c r="R373" i="2" s="1"/>
  <c r="M382" i="2"/>
  <c r="O396" i="2"/>
  <c r="M400" i="2"/>
  <c r="R406" i="2"/>
  <c r="N421" i="2"/>
  <c r="P423" i="2"/>
  <c r="N423" i="2"/>
  <c r="M423" i="2"/>
  <c r="R423" i="2" s="1"/>
  <c r="N427" i="2"/>
  <c r="P427" i="2"/>
  <c r="P444" i="2"/>
  <c r="O444" i="2"/>
  <c r="P448" i="2"/>
  <c r="M448" i="2"/>
  <c r="R448" i="2" s="1"/>
  <c r="R459" i="2"/>
  <c r="M465" i="2"/>
  <c r="M471" i="2"/>
  <c r="R471" i="2" s="1"/>
  <c r="M475" i="2"/>
  <c r="R475" i="2" s="1"/>
  <c r="O491" i="2"/>
  <c r="M498" i="2"/>
  <c r="R498" i="2" s="1"/>
  <c r="N498" i="2"/>
  <c r="P511" i="2"/>
  <c r="M517" i="2"/>
  <c r="R524" i="2"/>
  <c r="P524" i="2"/>
  <c r="N524" i="2"/>
  <c r="N526" i="2"/>
  <c r="P526" i="2"/>
  <c r="O526" i="2"/>
  <c r="M526" i="2"/>
  <c r="R526" i="2" s="1"/>
  <c r="N529" i="2"/>
  <c r="R529" i="2"/>
  <c r="P529" i="2"/>
  <c r="P531" i="2"/>
  <c r="O531" i="2"/>
  <c r="N531" i="2"/>
  <c r="R531" i="2"/>
  <c r="O553" i="2"/>
  <c r="O558" i="2"/>
  <c r="N558" i="2"/>
  <c r="P558" i="2"/>
  <c r="M571" i="2"/>
  <c r="R571" i="2" s="1"/>
  <c r="R581" i="2"/>
  <c r="P581" i="2"/>
  <c r="O581" i="2"/>
  <c r="M599" i="2"/>
  <c r="R599" i="2" s="1"/>
  <c r="R601" i="2"/>
  <c r="N601" i="2"/>
  <c r="P601" i="2"/>
  <c r="O601" i="2"/>
  <c r="P604" i="2"/>
  <c r="O604" i="2"/>
  <c r="N604" i="2"/>
  <c r="M604" i="2"/>
  <c r="R604" i="2" s="1"/>
  <c r="M203" i="2"/>
  <c r="R203" i="2" s="1"/>
  <c r="N203" i="2"/>
  <c r="P225" i="2"/>
  <c r="P351" i="2"/>
  <c r="M351" i="2"/>
  <c r="R351" i="2" s="1"/>
  <c r="N351" i="2"/>
  <c r="P385" i="2"/>
  <c r="O385" i="2"/>
  <c r="P462" i="2"/>
  <c r="O462" i="2"/>
  <c r="M462" i="2"/>
  <c r="R462" i="2" s="1"/>
  <c r="O492" i="2"/>
  <c r="N492" i="2"/>
  <c r="M492" i="2"/>
  <c r="R492" i="2" s="1"/>
  <c r="N532" i="2"/>
  <c r="O532" i="2"/>
  <c r="P572" i="2"/>
  <c r="O572" i="2"/>
  <c r="N572" i="2"/>
  <c r="R587" i="2"/>
  <c r="O587" i="2"/>
  <c r="N587" i="2"/>
  <c r="M587" i="2"/>
  <c r="P587" i="2"/>
  <c r="R602" i="2"/>
  <c r="P602" i="2"/>
  <c r="O602" i="2"/>
  <c r="N602" i="2"/>
  <c r="M134" i="2"/>
  <c r="R134" i="2" s="1"/>
  <c r="O134" i="2"/>
  <c r="N142" i="2"/>
  <c r="N152" i="2"/>
  <c r="M157" i="2"/>
  <c r="M162" i="2"/>
  <c r="R162" i="2" s="1"/>
  <c r="N185" i="2"/>
  <c r="M195" i="2"/>
  <c r="R195" i="2" s="1"/>
  <c r="O203" i="2"/>
  <c r="M225" i="2"/>
  <c r="R225" i="2" s="1"/>
  <c r="N239" i="2"/>
  <c r="M244" i="2"/>
  <c r="R244" i="2" s="1"/>
  <c r="N251" i="2"/>
  <c r="N271" i="2"/>
  <c r="M278" i="2"/>
  <c r="R278" i="2" s="1"/>
  <c r="O278" i="2"/>
  <c r="M283" i="2"/>
  <c r="R283" i="2" s="1"/>
  <c r="M303" i="2"/>
  <c r="M321" i="2"/>
  <c r="R321" i="2" s="1"/>
  <c r="O321" i="2"/>
  <c r="O351" i="2"/>
  <c r="M355" i="2"/>
  <c r="R355" i="2" s="1"/>
  <c r="R370" i="2"/>
  <c r="P370" i="2"/>
  <c r="M381" i="2"/>
  <c r="M385" i="2"/>
  <c r="P387" i="2"/>
  <c r="N387" i="2"/>
  <c r="M387" i="2"/>
  <c r="R387" i="2" s="1"/>
  <c r="O387" i="2"/>
  <c r="P393" i="2"/>
  <c r="R393" i="2"/>
  <c r="N393" i="2"/>
  <c r="O418" i="2"/>
  <c r="N418" i="2"/>
  <c r="M418" i="2"/>
  <c r="R418" i="2"/>
  <c r="P441" i="2"/>
  <c r="N441" i="2"/>
  <c r="M441" i="2"/>
  <c r="R441" i="2" s="1"/>
  <c r="N462" i="2"/>
  <c r="P466" i="2"/>
  <c r="M466" i="2"/>
  <c r="R466" i="2" s="1"/>
  <c r="P492" i="2"/>
  <c r="N505" i="2"/>
  <c r="P505" i="2"/>
  <c r="O505" i="2"/>
  <c r="M505" i="2"/>
  <c r="R505" i="2" s="1"/>
  <c r="R518" i="2"/>
  <c r="P518" i="2"/>
  <c r="O518" i="2"/>
  <c r="N518" i="2"/>
  <c r="M532" i="2"/>
  <c r="R532" i="2" s="1"/>
  <c r="O537" i="2"/>
  <c r="N537" i="2"/>
  <c r="R537" i="2"/>
  <c r="M572" i="2"/>
  <c r="R572" i="2" s="1"/>
  <c r="O582" i="2"/>
  <c r="N582" i="2"/>
  <c r="M582" i="2"/>
  <c r="M602" i="2"/>
  <c r="R592" i="2"/>
  <c r="N592" i="2"/>
  <c r="P592" i="2"/>
  <c r="O592" i="2"/>
  <c r="M260" i="2"/>
  <c r="R260" i="2" s="1"/>
  <c r="N260" i="2"/>
  <c r="M311" i="2"/>
  <c r="R311" i="2" s="1"/>
  <c r="N311" i="2"/>
  <c r="R325" i="2"/>
  <c r="P325" i="2"/>
  <c r="O327" i="2"/>
  <c r="N327" i="2"/>
  <c r="P349" i="2"/>
  <c r="O349" i="2"/>
  <c r="P394" i="2"/>
  <c r="O394" i="2"/>
  <c r="P411" i="2"/>
  <c r="R411" i="2"/>
  <c r="P426" i="2"/>
  <c r="O426" i="2"/>
  <c r="N426" i="2"/>
  <c r="P432" i="2"/>
  <c r="M432" i="2"/>
  <c r="R432" i="2" s="1"/>
  <c r="O472" i="2"/>
  <c r="N472" i="2"/>
  <c r="P472" i="2"/>
  <c r="O486" i="2"/>
  <c r="N486" i="2"/>
  <c r="R527" i="2"/>
  <c r="P527" i="2"/>
  <c r="O527" i="2"/>
  <c r="N527" i="2"/>
  <c r="P354" i="2"/>
  <c r="O354" i="2"/>
  <c r="P375" i="2"/>
  <c r="R375" i="2"/>
  <c r="R442" i="2"/>
  <c r="P453" i="2"/>
  <c r="O453" i="2"/>
  <c r="P477" i="2"/>
  <c r="N477" i="2"/>
  <c r="M477" i="2"/>
  <c r="R477" i="2" s="1"/>
  <c r="R485" i="2"/>
  <c r="O485" i="2"/>
  <c r="P495" i="2"/>
  <c r="O495" i="2"/>
  <c r="N495" i="2"/>
  <c r="R552" i="2"/>
  <c r="P552" i="2"/>
  <c r="R554" i="2"/>
  <c r="P554" i="2"/>
  <c r="O554" i="2"/>
  <c r="N554" i="2"/>
  <c r="N565" i="2"/>
  <c r="M565" i="2"/>
  <c r="R565" i="2" s="1"/>
  <c r="N577" i="2"/>
  <c r="P577" i="2"/>
  <c r="O577" i="2"/>
  <c r="M577" i="2"/>
  <c r="R577" i="2"/>
  <c r="R308" i="2"/>
  <c r="M341" i="2"/>
  <c r="R341" i="2" s="1"/>
  <c r="P341" i="2"/>
  <c r="P408" i="2"/>
  <c r="O408" i="2"/>
  <c r="P417" i="2"/>
  <c r="O417" i="2"/>
  <c r="R488" i="2"/>
  <c r="N488" i="2"/>
  <c r="M488" i="2"/>
  <c r="N496" i="2"/>
  <c r="M496" i="2"/>
  <c r="R496" i="2" s="1"/>
  <c r="R500" i="2"/>
  <c r="P500" i="2"/>
  <c r="O500" i="2"/>
  <c r="P504" i="2"/>
  <c r="O504" i="2"/>
  <c r="R522" i="2"/>
  <c r="R534" i="2"/>
  <c r="N534" i="2"/>
  <c r="R557" i="2"/>
  <c r="P557" i="2"/>
  <c r="N557" i="2"/>
  <c r="N497" i="2"/>
  <c r="M497" i="2"/>
  <c r="R497" i="2" s="1"/>
  <c r="N508" i="2"/>
  <c r="R508" i="2"/>
  <c r="P508" i="2"/>
  <c r="O510" i="2"/>
  <c r="N510" i="2"/>
  <c r="M510" i="2"/>
  <c r="R510" i="2" s="1"/>
  <c r="R516" i="2"/>
  <c r="R539" i="2"/>
  <c r="P539" i="2"/>
  <c r="N562" i="2"/>
  <c r="R562" i="2"/>
  <c r="P562" i="2"/>
  <c r="O564" i="2"/>
  <c r="N564" i="2"/>
  <c r="M564" i="2"/>
  <c r="R564" i="2" s="1"/>
  <c r="R570" i="2"/>
  <c r="R479" i="2"/>
  <c r="N479" i="2"/>
  <c r="M479" i="2"/>
  <c r="N490" i="2"/>
  <c r="R490" i="2"/>
  <c r="M539" i="2"/>
  <c r="R545" i="2"/>
  <c r="N547" i="2"/>
  <c r="R547" i="2"/>
  <c r="R480" i="2"/>
  <c r="N487" i="2"/>
  <c r="P487" i="2"/>
  <c r="O487" i="2"/>
  <c r="P513" i="2"/>
  <c r="O513" i="2"/>
  <c r="R536" i="2"/>
  <c r="P536" i="2"/>
  <c r="O536" i="2"/>
  <c r="N536" i="2"/>
  <c r="R542" i="2"/>
  <c r="N559" i="2"/>
  <c r="P559" i="2"/>
  <c r="O559" i="2"/>
  <c r="M559" i="2"/>
  <c r="P567" i="2"/>
  <c r="O567" i="2"/>
  <c r="R569" i="2"/>
  <c r="M515" i="2"/>
  <c r="R515" i="2" s="1"/>
  <c r="M533" i="2"/>
  <c r="R533" i="2" s="1"/>
  <c r="M551" i="2"/>
  <c r="R551" i="2" s="1"/>
  <c r="M569" i="2"/>
  <c r="N589" i="2"/>
  <c r="R598" i="2"/>
  <c r="N598" i="2"/>
  <c r="M484" i="2"/>
  <c r="R484" i="2" s="1"/>
  <c r="R494" i="2"/>
  <c r="M502" i="2"/>
  <c r="R502" i="2" s="1"/>
  <c r="R512" i="2"/>
  <c r="N515" i="2"/>
  <c r="M520" i="2"/>
  <c r="R520" i="2" s="1"/>
  <c r="N533" i="2"/>
  <c r="M538" i="2"/>
  <c r="R538" i="2" s="1"/>
  <c r="R548" i="2"/>
  <c r="N551" i="2"/>
  <c r="M556" i="2"/>
  <c r="R556" i="2" s="1"/>
  <c r="R566" i="2"/>
  <c r="N569" i="2"/>
  <c r="M574" i="2"/>
  <c r="R574" i="2" s="1"/>
  <c r="R584" i="2"/>
  <c r="M589" i="2"/>
  <c r="R589" i="2" s="1"/>
  <c r="M598" i="2"/>
  <c r="D22" i="1" l="1"/>
  <c r="B26" i="1"/>
  <c r="B15" i="1"/>
  <c r="D33" i="1"/>
  <c r="B27" i="1"/>
  <c r="D32" i="1"/>
  <c r="R6" i="2"/>
  <c r="D21" i="1"/>
  <c r="B28" i="1"/>
</calcChain>
</file>

<file path=xl/sharedStrings.xml><?xml version="1.0" encoding="utf-8"?>
<sst xmlns="http://schemas.openxmlformats.org/spreadsheetml/2006/main" count="7551" uniqueCount="814">
  <si>
    <t>Banking loan application process</t>
  </si>
  <si>
    <t>Fictional bank. Synthetic applications submitted January to March 2026. Snapshot: March 31, 2026.</t>
  </si>
  <si>
    <t>Decision target (calendar days)</t>
  </si>
  <si>
    <t>The 7 day target is a project assumption, not a regulatory deadline.</t>
  </si>
  <si>
    <t>Snapshot date</t>
  </si>
  <si>
    <t>Measure</t>
  </si>
  <si>
    <t>Baseline</t>
  </si>
  <si>
    <t>Applications</t>
  </si>
  <si>
    <t>Decisioned applications</t>
  </si>
  <si>
    <t>Open applications</t>
  </si>
  <si>
    <t>Withdrawn applications</t>
  </si>
  <si>
    <t>Missing documents at intake</t>
  </si>
  <si>
    <t>Mean decision days</t>
  </si>
  <si>
    <t>Within decision target</t>
  </si>
  <si>
    <t>Approval rate of decisions</t>
  </si>
  <si>
    <t>Open cases over target</t>
  </si>
  <si>
    <t>Channel</t>
  </si>
  <si>
    <t>Decisioned</t>
  </si>
  <si>
    <t>Branch</t>
  </si>
  <si>
    <t>Online</t>
  </si>
  <si>
    <t>Stage</t>
  </si>
  <si>
    <t>Mean calendar days</t>
  </si>
  <si>
    <t>Document collection</t>
  </si>
  <si>
    <t>Stage averages use the same 505 decisioned cases. Elapsed time includes waiting and is not staff labor time.</t>
  </si>
  <si>
    <t>Review queue</t>
  </si>
  <si>
    <t>Review to decision</t>
  </si>
  <si>
    <t>Intake documents</t>
  </si>
  <si>
    <t>Synthetic associations reflect the generator assumptions. They are not evidence about any real bank or proof of causation.</t>
  </si>
  <si>
    <t>Complete at intake</t>
  </si>
  <si>
    <t>Missing at intake</t>
  </si>
  <si>
    <t>Decision times exclude open and withdrawn cases. Open age is reported separately to expose unfinished work.</t>
  </si>
  <si>
    <t>Refresh: rerun build_data.py and rebuild the workbook. Formulas cover this fixed 600 application snapshot.</t>
  </si>
  <si>
    <t>Cleaning reconciliation: 612 raw rows, 12 exact duplicates removed, 18 channel labels normalized, 600 unique applications.</t>
  </si>
  <si>
    <t>Clean applications with calculated measures</t>
  </si>
  <si>
    <t>application_id</t>
  </si>
  <si>
    <t>submitted_date</t>
  </si>
  <si>
    <t>channel</t>
  </si>
  <si>
    <t>branch_id</t>
  </si>
  <si>
    <t>requested_amount</t>
  </si>
  <si>
    <t>missing_docs_at_intake</t>
  </si>
  <si>
    <t>document_ready_date</t>
  </si>
  <si>
    <t>review_start_date</t>
  </si>
  <si>
    <t>decision_date</t>
  </si>
  <si>
    <t>withdrawal_date</t>
  </si>
  <si>
    <t>status</t>
  </si>
  <si>
    <t>is_decisioned</t>
  </si>
  <si>
    <t>decision_days</t>
  </si>
  <si>
    <t>document_days</t>
  </si>
  <si>
    <t>queue_days</t>
  </si>
  <si>
    <t>review_days</t>
  </si>
  <si>
    <t>open_age_days</t>
  </si>
  <si>
    <t>within_target</t>
  </si>
  <si>
    <t>submission_month</t>
  </si>
  <si>
    <t>LA0001</t>
  </si>
  <si>
    <t>DIGITAL</t>
  </si>
  <si>
    <t>Approved</t>
  </si>
  <si>
    <t>LA0002</t>
  </si>
  <si>
    <t>LA0003</t>
  </si>
  <si>
    <t>LA0004</t>
  </si>
  <si>
    <t>B04</t>
  </si>
  <si>
    <t>LA0005</t>
  </si>
  <si>
    <t>LA0006</t>
  </si>
  <si>
    <t>B03</t>
  </si>
  <si>
    <t>Declined</t>
  </si>
  <si>
    <t>LA0007</t>
  </si>
  <si>
    <t>B01</t>
  </si>
  <si>
    <t>LA0008</t>
  </si>
  <si>
    <t>LA0009</t>
  </si>
  <si>
    <t>LA0010</t>
  </si>
  <si>
    <t>Open</t>
  </si>
  <si>
    <t>LA0011</t>
  </si>
  <si>
    <t>B02</t>
  </si>
  <si>
    <t>LA0012</t>
  </si>
  <si>
    <t>LA0013</t>
  </si>
  <si>
    <t>LA0014</t>
  </si>
  <si>
    <t>LA0015</t>
  </si>
  <si>
    <t>LA0016</t>
  </si>
  <si>
    <t>LA0017</t>
  </si>
  <si>
    <t>LA0018</t>
  </si>
  <si>
    <t>LA0019</t>
  </si>
  <si>
    <t>LA0020</t>
  </si>
  <si>
    <t>LA0021</t>
  </si>
  <si>
    <t>LA0022</t>
  </si>
  <si>
    <t>LA0023</t>
  </si>
  <si>
    <t>LA0024</t>
  </si>
  <si>
    <t>LA0025</t>
  </si>
  <si>
    <t>Withdrawn</t>
  </si>
  <si>
    <t>LA0026</t>
  </si>
  <si>
    <t>LA0027</t>
  </si>
  <si>
    <t>LA0028</t>
  </si>
  <si>
    <t>LA0029</t>
  </si>
  <si>
    <t>LA0030</t>
  </si>
  <si>
    <t>LA0031</t>
  </si>
  <si>
    <t>LA0032</t>
  </si>
  <si>
    <t>LA0033</t>
  </si>
  <si>
    <t>LA0034</t>
  </si>
  <si>
    <t>LA0035</t>
  </si>
  <si>
    <t>LA0036</t>
  </si>
  <si>
    <t>LA0037</t>
  </si>
  <si>
    <t>LA0038</t>
  </si>
  <si>
    <t>LA0039</t>
  </si>
  <si>
    <t>LA0040</t>
  </si>
  <si>
    <t>LA0041</t>
  </si>
  <si>
    <t>LA0042</t>
  </si>
  <si>
    <t>LA0043</t>
  </si>
  <si>
    <t>LA0044</t>
  </si>
  <si>
    <t>LA0045</t>
  </si>
  <si>
    <t>LA0046</t>
  </si>
  <si>
    <t>LA0047</t>
  </si>
  <si>
    <t>LA0048</t>
  </si>
  <si>
    <t>LA0049</t>
  </si>
  <si>
    <t>LA0050</t>
  </si>
  <si>
    <t>LA0051</t>
  </si>
  <si>
    <t>LA0052</t>
  </si>
  <si>
    <t>LA0053</t>
  </si>
  <si>
    <t>LA0054</t>
  </si>
  <si>
    <t>LA0055</t>
  </si>
  <si>
    <t>LA0056</t>
  </si>
  <si>
    <t>LA0057</t>
  </si>
  <si>
    <t>LA0058</t>
  </si>
  <si>
    <t>LA0059</t>
  </si>
  <si>
    <t>LA0060</t>
  </si>
  <si>
    <t>LA0061</t>
  </si>
  <si>
    <t>LA0062</t>
  </si>
  <si>
    <t>LA0063</t>
  </si>
  <si>
    <t>LA0064</t>
  </si>
  <si>
    <t>LA0065</t>
  </si>
  <si>
    <t>LA0066</t>
  </si>
  <si>
    <t>LA0067</t>
  </si>
  <si>
    <t>LA0068</t>
  </si>
  <si>
    <t>LA0069</t>
  </si>
  <si>
    <t>LA0070</t>
  </si>
  <si>
    <t>LA0071</t>
  </si>
  <si>
    <t>LA0072</t>
  </si>
  <si>
    <t>LA0073</t>
  </si>
  <si>
    <t>LA0074</t>
  </si>
  <si>
    <t>LA0075</t>
  </si>
  <si>
    <t>LA0076</t>
  </si>
  <si>
    <t>LA0077</t>
  </si>
  <si>
    <t>LA0078</t>
  </si>
  <si>
    <t>LA0079</t>
  </si>
  <si>
    <t>LA0080</t>
  </si>
  <si>
    <t>LA0081</t>
  </si>
  <si>
    <t>LA0082</t>
  </si>
  <si>
    <t>LA0083</t>
  </si>
  <si>
    <t>LA0084</t>
  </si>
  <si>
    <t>LA0085</t>
  </si>
  <si>
    <t>LA0086</t>
  </si>
  <si>
    <t>LA0087</t>
  </si>
  <si>
    <t>LA0088</t>
  </si>
  <si>
    <t>LA0089</t>
  </si>
  <si>
    <t>LA0090</t>
  </si>
  <si>
    <t>LA0091</t>
  </si>
  <si>
    <t>LA0092</t>
  </si>
  <si>
    <t>LA0093</t>
  </si>
  <si>
    <t>LA0094</t>
  </si>
  <si>
    <t>LA0095</t>
  </si>
  <si>
    <t>LA0096</t>
  </si>
  <si>
    <t>LA0097</t>
  </si>
  <si>
    <t>LA0098</t>
  </si>
  <si>
    <t>LA0099</t>
  </si>
  <si>
    <t>LA0100</t>
  </si>
  <si>
    <t>LA0101</t>
  </si>
  <si>
    <t>LA0102</t>
  </si>
  <si>
    <t>LA0103</t>
  </si>
  <si>
    <t>LA0104</t>
  </si>
  <si>
    <t>LA0105</t>
  </si>
  <si>
    <t>LA0106</t>
  </si>
  <si>
    <t>LA0107</t>
  </si>
  <si>
    <t>LA0108</t>
  </si>
  <si>
    <t>LA0109</t>
  </si>
  <si>
    <t>LA0110</t>
  </si>
  <si>
    <t>LA0111</t>
  </si>
  <si>
    <t>LA0112</t>
  </si>
  <si>
    <t>LA0113</t>
  </si>
  <si>
    <t>LA0114</t>
  </si>
  <si>
    <t>LA0115</t>
  </si>
  <si>
    <t>LA0116</t>
  </si>
  <si>
    <t>LA0117</t>
  </si>
  <si>
    <t>LA0118</t>
  </si>
  <si>
    <t>LA0119</t>
  </si>
  <si>
    <t>LA0120</t>
  </si>
  <si>
    <t>LA0121</t>
  </si>
  <si>
    <t>LA0122</t>
  </si>
  <si>
    <t>LA0123</t>
  </si>
  <si>
    <t>LA0124</t>
  </si>
  <si>
    <t>LA0125</t>
  </si>
  <si>
    <t>LA0126</t>
  </si>
  <si>
    <t>LA0127</t>
  </si>
  <si>
    <t>LA0128</t>
  </si>
  <si>
    <t>LA0129</t>
  </si>
  <si>
    <t>LA0130</t>
  </si>
  <si>
    <t>LA0131</t>
  </si>
  <si>
    <t>LA0132</t>
  </si>
  <si>
    <t>LA0133</t>
  </si>
  <si>
    <t>LA0134</t>
  </si>
  <si>
    <t>LA0135</t>
  </si>
  <si>
    <t>LA0136</t>
  </si>
  <si>
    <t>LA0137</t>
  </si>
  <si>
    <t>LA0138</t>
  </si>
  <si>
    <t>LA0139</t>
  </si>
  <si>
    <t>LA0140</t>
  </si>
  <si>
    <t>LA0141</t>
  </si>
  <si>
    <t>LA0142</t>
  </si>
  <si>
    <t>LA0143</t>
  </si>
  <si>
    <t>LA0144</t>
  </si>
  <si>
    <t>LA0145</t>
  </si>
  <si>
    <t>LA0146</t>
  </si>
  <si>
    <t>LA0147</t>
  </si>
  <si>
    <t>LA0148</t>
  </si>
  <si>
    <t>LA0149</t>
  </si>
  <si>
    <t>LA0150</t>
  </si>
  <si>
    <t>LA0151</t>
  </si>
  <si>
    <t>LA0152</t>
  </si>
  <si>
    <t>LA0153</t>
  </si>
  <si>
    <t>LA0154</t>
  </si>
  <si>
    <t>LA0155</t>
  </si>
  <si>
    <t>LA0156</t>
  </si>
  <si>
    <t>LA0157</t>
  </si>
  <si>
    <t>LA0158</t>
  </si>
  <si>
    <t>LA0159</t>
  </si>
  <si>
    <t>LA0160</t>
  </si>
  <si>
    <t>LA0161</t>
  </si>
  <si>
    <t>LA0162</t>
  </si>
  <si>
    <t>LA0163</t>
  </si>
  <si>
    <t>LA0164</t>
  </si>
  <si>
    <t>LA0165</t>
  </si>
  <si>
    <t>LA0166</t>
  </si>
  <si>
    <t>LA0167</t>
  </si>
  <si>
    <t>LA0168</t>
  </si>
  <si>
    <t>LA0169</t>
  </si>
  <si>
    <t>LA0170</t>
  </si>
  <si>
    <t>LA0171</t>
  </si>
  <si>
    <t>LA0172</t>
  </si>
  <si>
    <t>LA0173</t>
  </si>
  <si>
    <t>LA0174</t>
  </si>
  <si>
    <t>LA0175</t>
  </si>
  <si>
    <t>LA0176</t>
  </si>
  <si>
    <t>LA0177</t>
  </si>
  <si>
    <t>LA0178</t>
  </si>
  <si>
    <t>LA0179</t>
  </si>
  <si>
    <t>LA0180</t>
  </si>
  <si>
    <t>LA0181</t>
  </si>
  <si>
    <t>LA0182</t>
  </si>
  <si>
    <t>LA0183</t>
  </si>
  <si>
    <t>LA0184</t>
  </si>
  <si>
    <t>LA0185</t>
  </si>
  <si>
    <t>LA0186</t>
  </si>
  <si>
    <t>LA0187</t>
  </si>
  <si>
    <t>LA0188</t>
  </si>
  <si>
    <t>LA0189</t>
  </si>
  <si>
    <t>LA0190</t>
  </si>
  <si>
    <t>LA0191</t>
  </si>
  <si>
    <t>LA0192</t>
  </si>
  <si>
    <t>LA0193</t>
  </si>
  <si>
    <t>LA0194</t>
  </si>
  <si>
    <t>LA0195</t>
  </si>
  <si>
    <t>LA0196</t>
  </si>
  <si>
    <t>LA0197</t>
  </si>
  <si>
    <t>LA0198</t>
  </si>
  <si>
    <t>LA0199</t>
  </si>
  <si>
    <t>LA0200</t>
  </si>
  <si>
    <t>LA0201</t>
  </si>
  <si>
    <t>LA0202</t>
  </si>
  <si>
    <t>LA0203</t>
  </si>
  <si>
    <t>LA0204</t>
  </si>
  <si>
    <t>LA0205</t>
  </si>
  <si>
    <t>LA0206</t>
  </si>
  <si>
    <t>LA0207</t>
  </si>
  <si>
    <t>LA0208</t>
  </si>
  <si>
    <t>LA0209</t>
  </si>
  <si>
    <t>LA0210</t>
  </si>
  <si>
    <t>LA0211</t>
  </si>
  <si>
    <t>LA0212</t>
  </si>
  <si>
    <t>LA0213</t>
  </si>
  <si>
    <t>LA0214</t>
  </si>
  <si>
    <t>LA0215</t>
  </si>
  <si>
    <t>LA0216</t>
  </si>
  <si>
    <t>LA0217</t>
  </si>
  <si>
    <t>LA0218</t>
  </si>
  <si>
    <t>LA0219</t>
  </si>
  <si>
    <t>LA0220</t>
  </si>
  <si>
    <t>LA0221</t>
  </si>
  <si>
    <t>LA0222</t>
  </si>
  <si>
    <t>LA0223</t>
  </si>
  <si>
    <t>LA0224</t>
  </si>
  <si>
    <t>LA0225</t>
  </si>
  <si>
    <t>LA0226</t>
  </si>
  <si>
    <t>LA0227</t>
  </si>
  <si>
    <t>LA0228</t>
  </si>
  <si>
    <t>LA0229</t>
  </si>
  <si>
    <t>LA0230</t>
  </si>
  <si>
    <t>LA0231</t>
  </si>
  <si>
    <t>LA0232</t>
  </si>
  <si>
    <t>LA0233</t>
  </si>
  <si>
    <t>LA0234</t>
  </si>
  <si>
    <t>LA0235</t>
  </si>
  <si>
    <t>LA0236</t>
  </si>
  <si>
    <t>LA0237</t>
  </si>
  <si>
    <t>LA0238</t>
  </si>
  <si>
    <t>LA0239</t>
  </si>
  <si>
    <t>LA0240</t>
  </si>
  <si>
    <t>LA0241</t>
  </si>
  <si>
    <t>LA0242</t>
  </si>
  <si>
    <t>LA0243</t>
  </si>
  <si>
    <t>LA0244</t>
  </si>
  <si>
    <t>LA0245</t>
  </si>
  <si>
    <t>LA0246</t>
  </si>
  <si>
    <t>LA0247</t>
  </si>
  <si>
    <t>LA0248</t>
  </si>
  <si>
    <t>LA0249</t>
  </si>
  <si>
    <t>LA0250</t>
  </si>
  <si>
    <t>LA0251</t>
  </si>
  <si>
    <t>LA0252</t>
  </si>
  <si>
    <t>LA0253</t>
  </si>
  <si>
    <t>LA0254</t>
  </si>
  <si>
    <t>LA0255</t>
  </si>
  <si>
    <t>LA0256</t>
  </si>
  <si>
    <t>LA0257</t>
  </si>
  <si>
    <t>LA0258</t>
  </si>
  <si>
    <t>LA0259</t>
  </si>
  <si>
    <t>LA0260</t>
  </si>
  <si>
    <t>LA0261</t>
  </si>
  <si>
    <t>LA0262</t>
  </si>
  <si>
    <t>LA0263</t>
  </si>
  <si>
    <t>LA0264</t>
  </si>
  <si>
    <t>LA0265</t>
  </si>
  <si>
    <t>LA0266</t>
  </si>
  <si>
    <t>LA0267</t>
  </si>
  <si>
    <t>LA0268</t>
  </si>
  <si>
    <t>LA0269</t>
  </si>
  <si>
    <t>LA0270</t>
  </si>
  <si>
    <t>LA0271</t>
  </si>
  <si>
    <t>LA0272</t>
  </si>
  <si>
    <t>LA0273</t>
  </si>
  <si>
    <t>LA0274</t>
  </si>
  <si>
    <t>LA0275</t>
  </si>
  <si>
    <t>LA0276</t>
  </si>
  <si>
    <t>LA0277</t>
  </si>
  <si>
    <t>LA0278</t>
  </si>
  <si>
    <t>LA0279</t>
  </si>
  <si>
    <t>LA0280</t>
  </si>
  <si>
    <t>LA0281</t>
  </si>
  <si>
    <t>LA0282</t>
  </si>
  <si>
    <t>LA0283</t>
  </si>
  <si>
    <t>LA0284</t>
  </si>
  <si>
    <t>LA0285</t>
  </si>
  <si>
    <t>LA0286</t>
  </si>
  <si>
    <t>LA0287</t>
  </si>
  <si>
    <t>LA0288</t>
  </si>
  <si>
    <t>LA0289</t>
  </si>
  <si>
    <t>LA0290</t>
  </si>
  <si>
    <t>LA0291</t>
  </si>
  <si>
    <t>LA0292</t>
  </si>
  <si>
    <t>LA0293</t>
  </si>
  <si>
    <t>LA0294</t>
  </si>
  <si>
    <t>LA0295</t>
  </si>
  <si>
    <t>LA0296</t>
  </si>
  <si>
    <t>LA0297</t>
  </si>
  <si>
    <t>LA0298</t>
  </si>
  <si>
    <t>LA0299</t>
  </si>
  <si>
    <t>LA0300</t>
  </si>
  <si>
    <t>LA0301</t>
  </si>
  <si>
    <t>LA0302</t>
  </si>
  <si>
    <t>LA0303</t>
  </si>
  <si>
    <t>LA0304</t>
  </si>
  <si>
    <t>LA0305</t>
  </si>
  <si>
    <t>LA0306</t>
  </si>
  <si>
    <t>LA0307</t>
  </si>
  <si>
    <t>LA0308</t>
  </si>
  <si>
    <t>LA0309</t>
  </si>
  <si>
    <t>LA0310</t>
  </si>
  <si>
    <t>LA0311</t>
  </si>
  <si>
    <t>LA0312</t>
  </si>
  <si>
    <t>LA0313</t>
  </si>
  <si>
    <t>LA0314</t>
  </si>
  <si>
    <t>LA0315</t>
  </si>
  <si>
    <t>LA0316</t>
  </si>
  <si>
    <t>LA0317</t>
  </si>
  <si>
    <t>LA0318</t>
  </si>
  <si>
    <t>LA0319</t>
  </si>
  <si>
    <t>LA0320</t>
  </si>
  <si>
    <t>LA0321</t>
  </si>
  <si>
    <t>LA0322</t>
  </si>
  <si>
    <t>LA0323</t>
  </si>
  <si>
    <t>LA0324</t>
  </si>
  <si>
    <t>LA0325</t>
  </si>
  <si>
    <t>LA0326</t>
  </si>
  <si>
    <t>LA0327</t>
  </si>
  <si>
    <t>LA0328</t>
  </si>
  <si>
    <t>LA0329</t>
  </si>
  <si>
    <t>LA0330</t>
  </si>
  <si>
    <t>LA0331</t>
  </si>
  <si>
    <t>LA0332</t>
  </si>
  <si>
    <t>LA0333</t>
  </si>
  <si>
    <t>LA0334</t>
  </si>
  <si>
    <t>LA0335</t>
  </si>
  <si>
    <t>LA0336</t>
  </si>
  <si>
    <t>LA0337</t>
  </si>
  <si>
    <t>LA0338</t>
  </si>
  <si>
    <t>LA0339</t>
  </si>
  <si>
    <t>LA0340</t>
  </si>
  <si>
    <t>LA0341</t>
  </si>
  <si>
    <t>LA0342</t>
  </si>
  <si>
    <t>LA0343</t>
  </si>
  <si>
    <t>LA0344</t>
  </si>
  <si>
    <t>LA0345</t>
  </si>
  <si>
    <t>LA0346</t>
  </si>
  <si>
    <t>LA0347</t>
  </si>
  <si>
    <t>LA0348</t>
  </si>
  <si>
    <t>LA0349</t>
  </si>
  <si>
    <t>LA0350</t>
  </si>
  <si>
    <t>LA0351</t>
  </si>
  <si>
    <t>LA0352</t>
  </si>
  <si>
    <t>LA0353</t>
  </si>
  <si>
    <t>LA0354</t>
  </si>
  <si>
    <t>LA0355</t>
  </si>
  <si>
    <t>LA0356</t>
  </si>
  <si>
    <t>LA0357</t>
  </si>
  <si>
    <t>LA0358</t>
  </si>
  <si>
    <t>LA0359</t>
  </si>
  <si>
    <t>LA0360</t>
  </si>
  <si>
    <t>LA0361</t>
  </si>
  <si>
    <t>LA0362</t>
  </si>
  <si>
    <t>LA0363</t>
  </si>
  <si>
    <t>LA0364</t>
  </si>
  <si>
    <t>LA0365</t>
  </si>
  <si>
    <t>LA0366</t>
  </si>
  <si>
    <t>LA0367</t>
  </si>
  <si>
    <t>LA0368</t>
  </si>
  <si>
    <t>LA0369</t>
  </si>
  <si>
    <t>LA0370</t>
  </si>
  <si>
    <t>LA0371</t>
  </si>
  <si>
    <t>LA0372</t>
  </si>
  <si>
    <t>LA0373</t>
  </si>
  <si>
    <t>LA0374</t>
  </si>
  <si>
    <t>LA0375</t>
  </si>
  <si>
    <t>LA0376</t>
  </si>
  <si>
    <t>LA0377</t>
  </si>
  <si>
    <t>LA0378</t>
  </si>
  <si>
    <t>LA0379</t>
  </si>
  <si>
    <t>LA0380</t>
  </si>
  <si>
    <t>LA0381</t>
  </si>
  <si>
    <t>LA0382</t>
  </si>
  <si>
    <t>LA0383</t>
  </si>
  <si>
    <t>LA0384</t>
  </si>
  <si>
    <t>LA0385</t>
  </si>
  <si>
    <t>LA0386</t>
  </si>
  <si>
    <t>LA0387</t>
  </si>
  <si>
    <t>LA0388</t>
  </si>
  <si>
    <t>LA0389</t>
  </si>
  <si>
    <t>LA0390</t>
  </si>
  <si>
    <t>LA0391</t>
  </si>
  <si>
    <t>LA0392</t>
  </si>
  <si>
    <t>LA0393</t>
  </si>
  <si>
    <t>LA0394</t>
  </si>
  <si>
    <t>LA0395</t>
  </si>
  <si>
    <t>LA0396</t>
  </si>
  <si>
    <t>LA0397</t>
  </si>
  <si>
    <t>LA0398</t>
  </si>
  <si>
    <t>LA0399</t>
  </si>
  <si>
    <t>LA0400</t>
  </si>
  <si>
    <t>LA0401</t>
  </si>
  <si>
    <t>LA0402</t>
  </si>
  <si>
    <t>LA0403</t>
  </si>
  <si>
    <t>LA0404</t>
  </si>
  <si>
    <t>LA0405</t>
  </si>
  <si>
    <t>LA0406</t>
  </si>
  <si>
    <t>LA0407</t>
  </si>
  <si>
    <t>LA0408</t>
  </si>
  <si>
    <t>LA0409</t>
  </si>
  <si>
    <t>LA0410</t>
  </si>
  <si>
    <t>LA0411</t>
  </si>
  <si>
    <t>LA0412</t>
  </si>
  <si>
    <t>LA0413</t>
  </si>
  <si>
    <t>LA0414</t>
  </si>
  <si>
    <t>LA0415</t>
  </si>
  <si>
    <t>LA0416</t>
  </si>
  <si>
    <t>LA0417</t>
  </si>
  <si>
    <t>LA0418</t>
  </si>
  <si>
    <t>LA0419</t>
  </si>
  <si>
    <t>LA0420</t>
  </si>
  <si>
    <t>LA0421</t>
  </si>
  <si>
    <t>LA0422</t>
  </si>
  <si>
    <t>LA0423</t>
  </si>
  <si>
    <t>LA0424</t>
  </si>
  <si>
    <t>LA0425</t>
  </si>
  <si>
    <t>LA0426</t>
  </si>
  <si>
    <t>LA0427</t>
  </si>
  <si>
    <t>LA0428</t>
  </si>
  <si>
    <t>LA0429</t>
  </si>
  <si>
    <t>LA0430</t>
  </si>
  <si>
    <t>LA0431</t>
  </si>
  <si>
    <t>LA0432</t>
  </si>
  <si>
    <t>LA0433</t>
  </si>
  <si>
    <t>LA0434</t>
  </si>
  <si>
    <t>LA0435</t>
  </si>
  <si>
    <t>LA0436</t>
  </si>
  <si>
    <t>LA0437</t>
  </si>
  <si>
    <t>LA0438</t>
  </si>
  <si>
    <t>LA0439</t>
  </si>
  <si>
    <t>LA0440</t>
  </si>
  <si>
    <t>LA0441</t>
  </si>
  <si>
    <t>LA0442</t>
  </si>
  <si>
    <t>LA0443</t>
  </si>
  <si>
    <t>LA0444</t>
  </si>
  <si>
    <t>LA0445</t>
  </si>
  <si>
    <t>LA0446</t>
  </si>
  <si>
    <t>LA0447</t>
  </si>
  <si>
    <t>LA0448</t>
  </si>
  <si>
    <t>LA0449</t>
  </si>
  <si>
    <t>LA0450</t>
  </si>
  <si>
    <t>LA0451</t>
  </si>
  <si>
    <t>LA0452</t>
  </si>
  <si>
    <t>LA0453</t>
  </si>
  <si>
    <t>LA0454</t>
  </si>
  <si>
    <t>LA0455</t>
  </si>
  <si>
    <t>LA0456</t>
  </si>
  <si>
    <t>LA0457</t>
  </si>
  <si>
    <t>LA0458</t>
  </si>
  <si>
    <t>LA0459</t>
  </si>
  <si>
    <t>LA0460</t>
  </si>
  <si>
    <t>LA0461</t>
  </si>
  <si>
    <t>LA0462</t>
  </si>
  <si>
    <t>LA0463</t>
  </si>
  <si>
    <t>LA0464</t>
  </si>
  <si>
    <t>LA0465</t>
  </si>
  <si>
    <t>LA0466</t>
  </si>
  <si>
    <t>LA0467</t>
  </si>
  <si>
    <t>LA0468</t>
  </si>
  <si>
    <t>LA0469</t>
  </si>
  <si>
    <t>LA0470</t>
  </si>
  <si>
    <t>LA0471</t>
  </si>
  <si>
    <t>LA0472</t>
  </si>
  <si>
    <t>LA0473</t>
  </si>
  <si>
    <t>LA0474</t>
  </si>
  <si>
    <t>LA0475</t>
  </si>
  <si>
    <t>LA0476</t>
  </si>
  <si>
    <t>LA0477</t>
  </si>
  <si>
    <t>LA0478</t>
  </si>
  <si>
    <t>LA0479</t>
  </si>
  <si>
    <t>LA0480</t>
  </si>
  <si>
    <t>LA0481</t>
  </si>
  <si>
    <t>LA0482</t>
  </si>
  <si>
    <t>LA0483</t>
  </si>
  <si>
    <t>LA0484</t>
  </si>
  <si>
    <t>LA0485</t>
  </si>
  <si>
    <t>LA0486</t>
  </si>
  <si>
    <t>LA0487</t>
  </si>
  <si>
    <t>LA0488</t>
  </si>
  <si>
    <t>LA0489</t>
  </si>
  <si>
    <t>LA0490</t>
  </si>
  <si>
    <t>LA0491</t>
  </si>
  <si>
    <t>LA0492</t>
  </si>
  <si>
    <t>LA0493</t>
  </si>
  <si>
    <t>LA0494</t>
  </si>
  <si>
    <t>LA0495</t>
  </si>
  <si>
    <t>LA0496</t>
  </si>
  <si>
    <t>LA0497</t>
  </si>
  <si>
    <t>LA0498</t>
  </si>
  <si>
    <t>LA0499</t>
  </si>
  <si>
    <t>LA0500</t>
  </si>
  <si>
    <t>LA0501</t>
  </si>
  <si>
    <t>LA0502</t>
  </si>
  <si>
    <t>LA0503</t>
  </si>
  <si>
    <t>LA0504</t>
  </si>
  <si>
    <t>LA0505</t>
  </si>
  <si>
    <t>LA0506</t>
  </si>
  <si>
    <t>LA0507</t>
  </si>
  <si>
    <t>LA0508</t>
  </si>
  <si>
    <t>LA0509</t>
  </si>
  <si>
    <t>LA0510</t>
  </si>
  <si>
    <t>LA0511</t>
  </si>
  <si>
    <t>LA0512</t>
  </si>
  <si>
    <t>LA0513</t>
  </si>
  <si>
    <t>LA0514</t>
  </si>
  <si>
    <t>LA0515</t>
  </si>
  <si>
    <t>LA0516</t>
  </si>
  <si>
    <t>LA0517</t>
  </si>
  <si>
    <t>LA0518</t>
  </si>
  <si>
    <t>LA0519</t>
  </si>
  <si>
    <t>LA0520</t>
  </si>
  <si>
    <t>LA0521</t>
  </si>
  <si>
    <t>LA0522</t>
  </si>
  <si>
    <t>LA0523</t>
  </si>
  <si>
    <t>LA0524</t>
  </si>
  <si>
    <t>LA0525</t>
  </si>
  <si>
    <t>LA0526</t>
  </si>
  <si>
    <t>LA0527</t>
  </si>
  <si>
    <t>LA0528</t>
  </si>
  <si>
    <t>LA0529</t>
  </si>
  <si>
    <t>LA0530</t>
  </si>
  <si>
    <t>LA0531</t>
  </si>
  <si>
    <t>LA0532</t>
  </si>
  <si>
    <t>LA0533</t>
  </si>
  <si>
    <t>LA0534</t>
  </si>
  <si>
    <t>LA0535</t>
  </si>
  <si>
    <t>LA0536</t>
  </si>
  <si>
    <t>LA0537</t>
  </si>
  <si>
    <t>LA0538</t>
  </si>
  <si>
    <t>LA0539</t>
  </si>
  <si>
    <t>LA0540</t>
  </si>
  <si>
    <t>LA0541</t>
  </si>
  <si>
    <t>LA0542</t>
  </si>
  <si>
    <t>LA0543</t>
  </si>
  <si>
    <t>LA0544</t>
  </si>
  <si>
    <t>LA0545</t>
  </si>
  <si>
    <t>LA0546</t>
  </si>
  <si>
    <t>LA0547</t>
  </si>
  <si>
    <t>LA0548</t>
  </si>
  <si>
    <t>LA0549</t>
  </si>
  <si>
    <t>LA0550</t>
  </si>
  <si>
    <t>LA0551</t>
  </si>
  <si>
    <t>LA0552</t>
  </si>
  <si>
    <t>LA0553</t>
  </si>
  <si>
    <t>LA0554</t>
  </si>
  <si>
    <t>LA0555</t>
  </si>
  <si>
    <t>LA0556</t>
  </si>
  <si>
    <t>LA0557</t>
  </si>
  <si>
    <t>LA0558</t>
  </si>
  <si>
    <t>LA0559</t>
  </si>
  <si>
    <t>LA0560</t>
  </si>
  <si>
    <t>LA0561</t>
  </si>
  <si>
    <t>LA0562</t>
  </si>
  <si>
    <t>LA0563</t>
  </si>
  <si>
    <t>LA0564</t>
  </si>
  <si>
    <t>LA0565</t>
  </si>
  <si>
    <t>LA0566</t>
  </si>
  <si>
    <t>LA0567</t>
  </si>
  <si>
    <t>LA0568</t>
  </si>
  <si>
    <t>LA0569</t>
  </si>
  <si>
    <t>LA0570</t>
  </si>
  <si>
    <t>LA0571</t>
  </si>
  <si>
    <t>LA0572</t>
  </si>
  <si>
    <t>LA0573</t>
  </si>
  <si>
    <t>LA0574</t>
  </si>
  <si>
    <t>LA0575</t>
  </si>
  <si>
    <t>LA0576</t>
  </si>
  <si>
    <t>LA0577</t>
  </si>
  <si>
    <t>LA0578</t>
  </si>
  <si>
    <t>LA0579</t>
  </si>
  <si>
    <t>LA0580</t>
  </si>
  <si>
    <t>LA0581</t>
  </si>
  <si>
    <t>LA0582</t>
  </si>
  <si>
    <t>LA0583</t>
  </si>
  <si>
    <t>LA0584</t>
  </si>
  <si>
    <t>LA0585</t>
  </si>
  <si>
    <t>LA0586</t>
  </si>
  <si>
    <t>LA0587</t>
  </si>
  <si>
    <t>LA0588</t>
  </si>
  <si>
    <t>LA0589</t>
  </si>
  <si>
    <t>LA0590</t>
  </si>
  <si>
    <t>LA0591</t>
  </si>
  <si>
    <t>LA0592</t>
  </si>
  <si>
    <t>LA0593</t>
  </si>
  <si>
    <t>LA0594</t>
  </si>
  <si>
    <t>LA0595</t>
  </si>
  <si>
    <t>LA0596</t>
  </si>
  <si>
    <t>LA0597</t>
  </si>
  <si>
    <t>LA0598</t>
  </si>
  <si>
    <t>LA0599</t>
  </si>
  <si>
    <t>LA0600</t>
  </si>
  <si>
    <t>Source: deterministic synthetic generator, seed 20261016. No employer or customer data.</t>
  </si>
  <si>
    <t>online</t>
  </si>
  <si>
    <t>branch</t>
  </si>
  <si>
    <t>Field</t>
  </si>
  <si>
    <t>Meaning</t>
  </si>
  <si>
    <t>Type</t>
  </si>
  <si>
    <t>Missing value rule</t>
  </si>
  <si>
    <t>Unique fictional application key</t>
  </si>
  <si>
    <t>Text</t>
  </si>
  <si>
    <t>Required</t>
  </si>
  <si>
    <t>Application received, date grain</t>
  </si>
  <si>
    <t>Date</t>
  </si>
  <si>
    <t>Branch or Online after normalization</t>
  </si>
  <si>
    <t>B01 to B04 or DIGITAL</t>
  </si>
  <si>
    <t>Requested principal in USD</t>
  </si>
  <si>
    <t>Number</t>
  </si>
  <si>
    <t>Required, positive</t>
  </si>
  <si>
    <t>1 means documents missing at submission</t>
  </si>
  <si>
    <t>Integer</t>
  </si>
  <si>
    <t>Required, 0 or 1</t>
  </si>
  <si>
    <t>Document collection completed</t>
  </si>
  <si>
    <t>Blank if not reached or withdrawn</t>
  </si>
  <si>
    <t>Underwriter review started</t>
  </si>
  <si>
    <t>Approval or decline recorded</t>
  </si>
  <si>
    <t>Blank for open or withdrawn</t>
  </si>
  <si>
    <t>Applicant withdrew before decision</t>
  </si>
  <si>
    <t>Only for withdrawn cases</t>
  </si>
  <si>
    <t>Approved, Declined, Open, Withdrawn</t>
  </si>
  <si>
    <t>1 for approved or declined</t>
  </si>
  <si>
    <t>Formula</t>
  </si>
  <si>
    <t>Never blank</t>
  </si>
  <si>
    <t>Decision date minus submitted date</t>
  </si>
  <si>
    <t>Calendar days</t>
  </si>
  <si>
    <t>Blank if not decisioned</t>
  </si>
  <si>
    <t>Document ready minus submitted date</t>
  </si>
  <si>
    <t>Review start minus document ready</t>
  </si>
  <si>
    <t>Decision minus review start</t>
  </si>
  <si>
    <t>Snapshot minus submitted date</t>
  </si>
  <si>
    <t>Only for open cases</t>
  </si>
  <si>
    <t>1 when decision days at or below target</t>
  </si>
  <si>
    <t>Only for decisioned cases</t>
  </si>
  <si>
    <t>Cohort month from submitted date</t>
  </si>
  <si>
    <t>Text YYYY-MM</t>
  </si>
  <si>
    <t>Document collection days</t>
  </si>
  <si>
    <t>Review queue days</t>
  </si>
  <si>
    <t>Underwriting review days</t>
  </si>
  <si>
    <t>Total decision days</t>
  </si>
  <si>
    <t>Time check</t>
  </si>
  <si>
    <t>Average document days</t>
  </si>
  <si>
    <t>Average queue days</t>
  </si>
  <si>
    <t>Average review days</t>
  </si>
  <si>
    <t>Average total days</t>
  </si>
  <si>
    <t>Queue share of total time</t>
  </si>
  <si>
    <t>Completed decisions</t>
  </si>
  <si>
    <t>Average total decision days</t>
  </si>
  <si>
    <t>Difference in days</t>
  </si>
  <si>
    <t>Requirement ID</t>
  </si>
  <si>
    <t>Requirement</t>
  </si>
  <si>
    <t>FR01</t>
  </si>
  <si>
    <t>The system must check that all required documents are present before allowing an application into the review queue.</t>
  </si>
  <si>
    <t>Block the move, display the missing documents, and keep the application in Awaiting documents status.</t>
  </si>
  <si>
    <t>Allow the application into the review queue and record the document completion date and time.</t>
  </si>
  <si>
    <t>Decisions within 7 days</t>
  </si>
  <si>
    <t>Open applications older than 7 days</t>
  </si>
  <si>
    <t>Share of open applications older than 7 days</t>
  </si>
  <si>
    <t>Clean channel</t>
  </si>
  <si>
    <t>Finding</t>
  </si>
  <si>
    <t>Current situation</t>
  </si>
  <si>
    <t>Desired situation</t>
  </si>
  <si>
    <t>Proposed action</t>
  </si>
  <si>
    <t>Missing documents</t>
  </si>
  <si>
    <t>Average decision time: 12.20 days with missing documents versus 6.97 without.</t>
  </si>
  <si>
    <t>Customers know the required documents and officers identify missing items early.</t>
  </si>
  <si>
    <t>Add an intake checklist and check completeness before review.</t>
  </si>
  <si>
    <t>Average queue: 3.92 days overall. B03: 5.68 days.</t>
  </si>
  <si>
    <t>Applications ready for review have clear owners and visible waiting times.</t>
  </si>
  <si>
    <t>Add a shared queue with assigned owners. Investigate B03 staffing, routing, and workload.</t>
  </si>
  <si>
    <t>Aging applications</t>
  </si>
  <si>
    <t>8 of 61 open applications exceeded 7 days as of March 31, 2026.</t>
  </si>
  <si>
    <t>Staff can identify applications needing follow up.</t>
  </si>
  <si>
    <t>Flag open applications older than 7 days and assign a follow up owner.</t>
  </si>
  <si>
    <t>Acceptance criterion 1</t>
  </si>
  <si>
    <t>Acceptance criterion 2</t>
  </si>
  <si>
    <t>FR02</t>
  </si>
  <si>
    <t>The system must display applications awaiting review in a shared queue with an assigned reviewer and elapsed queue days.</t>
  </si>
  <si>
    <t>When a loan manager assigns or changes the reviewer, the queue displays the new owner and records who made the change and when.</t>
  </si>
  <si>
    <t>FR03</t>
  </si>
  <si>
    <t>The system must flag active applications older than 7 calendar days since submission for follow up.</t>
  </si>
  <si>
    <t>At the daily refresh, an active application aged 8 days is flagged. An application aged exactly 7 days is not flagged.</t>
  </si>
  <si>
    <t>Approved, declined, and withdrawn applications are excluded from the active follow up list. Each flagged application displays its owner or Unassigned.</t>
  </si>
  <si>
    <t>When a document complete application enters the queue, display its application ID, queue entry date, reviewer or Unassigned, and elapsed queue days. Calculate elapsed queue days as the current date minus the queue entry date.</t>
  </si>
  <si>
    <t>Test ID</t>
  </si>
  <si>
    <t>Scenario and action</t>
  </si>
  <si>
    <t>Expected result</t>
  </si>
  <si>
    <t>Test status</t>
  </si>
  <si>
    <t>UAT01</t>
  </si>
  <si>
    <t>Try moving an application with one required document missing into review.</t>
  </si>
  <si>
    <t>Move is blocked, the missing document is listed, and status remains Awaiting documents.</t>
  </si>
  <si>
    <t>Not run</t>
  </si>
  <si>
    <t>UAT02</t>
  </si>
  <si>
    <t>Provide all required documents and move the application into review.</t>
  </si>
  <si>
    <t>Move is allowed and the document completion date and time are recorded.</t>
  </si>
  <si>
    <t>UAT03</t>
  </si>
  <si>
    <t>View an unassigned application that entered the review queue 3 calendar days ago.</t>
  </si>
  <si>
    <t>Application appears with its ID, queue entry date, Unassigned label, and 3 elapsed queue days.</t>
  </si>
  <si>
    <t>UAT04</t>
  </si>
  <si>
    <t>As a loan manager, change an application's reviewer from Officer A to Officer B.</t>
  </si>
  <si>
    <t>Queue displays Officer B and records the manager who made the change and its date and time.</t>
  </si>
  <si>
    <t>UAT05</t>
  </si>
  <si>
    <t>Run the daily refresh for an active application exactly 7 calendar days old.</t>
  </si>
  <si>
    <t>Application is not flagged.</t>
  </si>
  <si>
    <t>UAT06</t>
  </si>
  <si>
    <t>Run the daily refresh for an active application 8 calendar days old.</t>
  </si>
  <si>
    <t>Application is flagged and displays its owner or Unassigned.</t>
  </si>
  <si>
    <t>UAT07</t>
  </si>
  <si>
    <t>Run the daily refresh with approved, declined, and withdrawn applications each 8 days old.</t>
  </si>
  <si>
    <t>All three applications are excluded from the active follow up list.</t>
  </si>
  <si>
    <t>Business problem</t>
  </si>
  <si>
    <t>Supporting finding</t>
  </si>
  <si>
    <t>Proposed change</t>
  </si>
  <si>
    <t>Test IDs</t>
  </si>
  <si>
    <t>Completed applications with missing documents averaged 12.20 days versus 6.97 without.</t>
  </si>
  <si>
    <t>Check document completeness before entry into review.</t>
  </si>
  <si>
    <t>UAT01, UAT02</t>
  </si>
  <si>
    <t>Waiting for review</t>
  </si>
  <si>
    <t>Average queue time was 3.92 days overall. B03 averaged 5.68 days.</t>
  </si>
  <si>
    <t>Show a shared review queue with ownership and elapsed queue days.</t>
  </si>
  <si>
    <t>UAT03, UAT04</t>
  </si>
  <si>
    <t>Applications needing follow up</t>
  </si>
  <si>
    <t>8 of 61 open applications were older than 7 days at March 31, 2026.</t>
  </si>
  <si>
    <t>Flag active applications older than 7 calendar days.</t>
  </si>
  <si>
    <t>UAT05, UAT06, UAT07</t>
  </si>
  <si>
    <t>KPI</t>
  </si>
  <si>
    <t>Proposed target</t>
  </si>
  <si>
    <t>How to measure</t>
  </si>
  <si>
    <t>Average loan decision time</t>
  </si>
  <si>
    <t>8.54 calendar days</t>
  </si>
  <si>
    <t>7.00 calendar days or less</t>
  </si>
  <si>
    <t>Average days from submission to decision for approved and declined applications</t>
  </si>
  <si>
    <t>Average review queue time</t>
  </si>
  <si>
    <t>3.92 calendar days</t>
  </si>
  <si>
    <t>3.00 calendar days or less</t>
  </si>
  <si>
    <t>Average days from document completion to review start for approved and declined applications</t>
  </si>
  <si>
    <t>Applications missing documents at intake</t>
  </si>
  <si>
    <t>25.0% or less</t>
  </si>
  <si>
    <t>Applications missing required documents at initial submission divided by all submitted applications</t>
  </si>
  <si>
    <t>Decisions completed within 7 days</t>
  </si>
  <si>
    <t>60.0% or more</t>
  </si>
  <si>
    <t>Approved and declined applications decided within 7 calendar days divided by all approved and declined applications</t>
  </si>
  <si>
    <t>Evaluation plan: Propose a four week pilot using the document checklist, shared review queue and daily follow up flags. Compare the KPIs with the baseline using the same definitions. Also track open applications and their age so unfinished cases are not hidden.</t>
  </si>
  <si>
    <t>Target assumptions: These are illustrative targets for discussion with stakeholders. They have not been approved or achieved.</t>
  </si>
  <si>
    <t>Portfolio limitation: No operational pilot was conducted. The baseline comes from synthetic data, and the proposed benefits remain untested.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</si>
</sst>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quot;$&quot;#,##0"/>
    <numFmt numFmtId="166" formatCode="0.0%"/>
  </numFmts>
  <fonts count="6">
    <font>
      <sz val="11"/>
      <name val="Carlito"/>
    </font>
    <font>
      <sz val="11"/>
      <color rgb="FF18334F"/>
      <name val="Aptos"/>
    </font>
    <font>
      <b/>
      <sz val="20"/>
      <color rgb="FF18334F"/>
      <name val="Aptos"/>
    </font>
    <font>
      <b/>
      <sz val="11"/>
      <color rgb="FFFFFFFF"/>
      <name val="Aptos"/>
    </font>
    <font>
      <sz val="10"/>
      <name val="Arial Unicode MS"/>
    </font>
    <font>
      <b/>
      <sz val="11"/>
      <name val="Carlito"/>
    </font>
  </fonts>
  <fills count="4">
    <fill>
      <patternFill patternType="none"/>
    </fill>
    <fill>
      <patternFill patternType="gray125"/>
    </fill>
    <fill>
      <patternFill patternType="solid">
        <fgColor rgb="FFFFF2CC"/>
      </patternFill>
    </fill>
    <fill>
      <patternFill patternType="solid">
        <fgColor rgb="FF18334F"/>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1" fillId="2" borderId="0" xfId="0" applyFont="1" applyFill="1"/>
    <xf numFmtId="164" fontId="1" fillId="2" borderId="0" xfId="0" applyNumberFormat="1" applyFont="1" applyFill="1"/>
    <xf numFmtId="164" fontId="1" fillId="0" borderId="0" xfId="0" applyNumberFormat="1" applyFont="1"/>
    <xf numFmtId="165" fontId="1" fillId="0" borderId="0" xfId="0" applyNumberFormat="1" applyFont="1"/>
    <xf numFmtId="0" fontId="3" fillId="3" borderId="0" xfId="0" applyFont="1" applyFill="1" applyAlignment="1">
      <alignment wrapText="1"/>
    </xf>
    <xf numFmtId="1" fontId="1" fillId="0" borderId="0" xfId="0" applyNumberFormat="1" applyFont="1"/>
    <xf numFmtId="3" fontId="1" fillId="0" borderId="0" xfId="0" applyNumberFormat="1" applyFont="1"/>
    <xf numFmtId="166" fontId="1" fillId="0" borderId="0" xfId="0" applyNumberFormat="1" applyFont="1"/>
    <xf numFmtId="2" fontId="1" fillId="0" borderId="0" xfId="0" applyNumberFormat="1" applyFont="1"/>
    <xf numFmtId="0" fontId="2" fillId="0" borderId="0" xfId="0" applyFont="1"/>
    <xf numFmtId="0" fontId="1" fillId="0" borderId="0" xfId="0" applyFont="1"/>
    <xf numFmtId="0" fontId="1" fillId="0" borderId="0" xfId="0" applyFont="1" applyAlignment="1">
      <alignment wrapText="1"/>
    </xf>
    <xf numFmtId="0" fontId="4" fillId="0" borderId="0" xfId="0" applyFont="1"/>
    <xf numFmtId="2" fontId="0" fillId="0" borderId="0" xfId="0" applyNumberFormat="1"/>
    <xf numFmtId="0" fontId="0" fillId="0" borderId="0" xfId="0" applyAlignment="1">
      <alignment wrapText="1"/>
    </xf>
    <xf numFmtId="0" fontId="0" fillId="0" borderId="0" xfId="0" applyAlignment="1"/>
    <xf numFmtId="166" fontId="0" fillId="0" borderId="0" xfId="0" applyNumberFormat="1"/>
    <xf numFmtId="0" fontId="5" fillId="0" borderId="0" xfId="0" applyFont="1" applyAlignment="1">
      <alignment wrapText="1"/>
    </xf>
    <xf numFmtId="10" fontId="0" fillId="0" borderId="0" xfId="0" applyNumberFormat="1" applyAlignment="1">
      <alignment wrapText="1"/>
    </xf>
  </cellXfs>
  <cellStyles count="1">
    <cellStyle name="Normal" xfId="0" builtinId="0"/>
  </cellStyles>
  <dxfs count="1">
    <dxf>
      <font>
        <b val="0"/>
        <i val="0"/>
        <strike val="0"/>
        <condense val="0"/>
        <extend val="0"/>
        <outline val="0"/>
        <shadow val="0"/>
        <u val="none"/>
        <vertAlign val="baseline"/>
        <sz val="11"/>
        <color rgb="FF18334F"/>
        <name val="Aptos"/>
        <scheme val="none"/>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200">
                <a:latin typeface="Aptos"/>
                <a:ea typeface="Aptos"/>
                <a:cs typeface="Aptos"/>
              </a:rPr>
              <a:t>Elapsed days by stage</a:t>
            </a:r>
          </a:p>
        </c:rich>
      </c:tx>
      <c:overlay val="0"/>
    </c:title>
    <c:autoTitleDeleted val="0"/>
    <c:plotArea>
      <c:layout/>
      <c:barChart>
        <c:barDir val="col"/>
        <c:grouping val="clustered"/>
        <c:varyColors val="0"/>
        <c:ser>
          <c:idx val="0"/>
          <c:order val="0"/>
          <c:tx>
            <c:v>Mean calendar days</c:v>
          </c:tx>
          <c:spPr>
            <a:solidFill>
              <a:srgbClr val="375F89"/>
            </a:solidFill>
          </c:spPr>
          <c:invertIfNegative val="0"/>
          <c:cat>
            <c:strRef>
              <c:f>Summary!$A$26:$A$28</c:f>
              <c:strCache>
                <c:ptCount val="3"/>
                <c:pt idx="0">
                  <c:v>Document collection</c:v>
                </c:pt>
                <c:pt idx="1">
                  <c:v>Review queue</c:v>
                </c:pt>
                <c:pt idx="2">
                  <c:v>Review to decision</c:v>
                </c:pt>
              </c:strCache>
            </c:strRef>
          </c:cat>
          <c:val>
            <c:numRef>
              <c:f>Summary!$B$26:$B$28</c:f>
              <c:numCache>
                <c:formatCode>0.00</c:formatCode>
                <c:ptCount val="3"/>
                <c:pt idx="0">
                  <c:v>2.605940594059406</c:v>
                </c:pt>
                <c:pt idx="1">
                  <c:v>3.9207920792079207</c:v>
                </c:pt>
                <c:pt idx="2">
                  <c:v>2.0158415841584159</c:v>
                </c:pt>
              </c:numCache>
            </c:numRef>
          </c:val>
          <c:extLst>
            <c:ext xmlns:c16="http://schemas.microsoft.com/office/drawing/2014/chart" uri="{C3380CC4-5D6E-409C-BE32-E72D297353CC}">
              <c16:uniqueId val="{00000000-7A0F-4833-B36C-605DAE15268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7</xdr:row>
      <xdr:rowOff>0</xdr:rowOff>
    </xdr:from>
    <xdr:to>
      <xdr:col>12</xdr:col>
      <xdr:colOff>0</xdr:colOff>
      <xdr:row>23</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0</xdr:row>
      <xdr:rowOff>95250</xdr:rowOff>
    </xdr:from>
    <xdr:to>
      <xdr:col>9</xdr:col>
      <xdr:colOff>314368</xdr:colOff>
      <xdr:row>31</xdr:row>
      <xdr:rowOff>104814</xdr:rowOff>
    </xdr:to>
    <xdr:pic>
      <xdr:nvPicPr>
        <xdr:cNvPr id="6" name="Picture 5">
          <a:extLst>
            <a:ext uri="{FF2B5EF4-FFF2-40B4-BE49-F238E27FC236}">
              <a16:creationId xmlns:a16="http://schemas.microsoft.com/office/drawing/2014/main" id="{2EEB0EB3-C108-B2A0-EE94-9EF16ADF2B52}"/>
            </a:ext>
          </a:extLst>
        </xdr:cNvPr>
        <xdr:cNvPicPr>
          <a:picLocks noChangeAspect="1"/>
        </xdr:cNvPicPr>
      </xdr:nvPicPr>
      <xdr:blipFill>
        <a:blip xmlns:r="http://schemas.openxmlformats.org/officeDocument/2006/relationships" r:embed="rId1"/>
        <a:stretch>
          <a:fillRect/>
        </a:stretch>
      </xdr:blipFill>
      <xdr:spPr>
        <a:xfrm>
          <a:off x="590550" y="95250"/>
          <a:ext cx="5896018" cy="532451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C8413D-3818-4D77-BD0F-FE0D917B4129}" name="RawTable4" displayName="RawTable4" ref="A4:L604" totalsRowShown="0">
  <tableColumns count="12">
    <tableColumn id="1" xr3:uid="{ABDB1D42-532E-4B41-9963-0D85316C7AF6}" name="application_id"/>
    <tableColumn id="2" xr3:uid="{FFC15AD3-91EE-4D95-8C79-5C5AC0312BB5}" name="submitted_date"/>
    <tableColumn id="3" xr3:uid="{899CFADD-3CE3-4593-91F1-9C668FB66800}" name="channel"/>
    <tableColumn id="4" xr3:uid="{2DD1ED1B-B154-4E57-A7DA-E2AB60D700F7}" name="branch_id"/>
    <tableColumn id="5" xr3:uid="{01051938-A0A0-4F83-9175-D29797A260E5}" name="requested_amount"/>
    <tableColumn id="6" xr3:uid="{14FA030A-E5AF-4146-8349-FE006E55DC7B}" name="missing_docs_at_intake"/>
    <tableColumn id="7" xr3:uid="{DE3AFAE8-B43B-4426-8A8C-6107394CEE60}" name="document_ready_date"/>
    <tableColumn id="8" xr3:uid="{AB146FDA-1C7E-4B23-9E74-0D591069B8AB}" name="review_start_date"/>
    <tableColumn id="9" xr3:uid="{E9D9E4C5-42BF-4DE8-8051-B31D6DAF186E}" name="decision_date"/>
    <tableColumn id="10" xr3:uid="{4A7A0236-F8D5-4FCD-A9C2-CF159438EAFC}" name="withdrawal_date"/>
    <tableColumn id="11" xr3:uid="{245EF811-F854-4048-9174-99DE39A2D1BA}" name="status"/>
    <tableColumn id="12" xr3:uid="{74698A35-212A-45C2-92EC-8F444A036E56}" name="Clean channel" dataDxfId="0">
      <calculatedColumnFormula>PROPER(TRIM(C5))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pplicationsTable" displayName="ApplicationsTable" ref="A4:S604" totalsRowShown="0">
  <tableColumns count="19">
    <tableColumn id="1" xr3:uid="{00000000-0010-0000-0000-000001000000}" name="application_id"/>
    <tableColumn id="2" xr3:uid="{00000000-0010-0000-0000-000002000000}" name="submitted_date"/>
    <tableColumn id="3" xr3:uid="{00000000-0010-0000-0000-000003000000}" name="channel"/>
    <tableColumn id="4" xr3:uid="{00000000-0010-0000-0000-000004000000}" name="branch_id"/>
    <tableColumn id="5" xr3:uid="{00000000-0010-0000-0000-000005000000}" name="requested_amount"/>
    <tableColumn id="6" xr3:uid="{00000000-0010-0000-0000-000006000000}" name="missing_docs_at_intake"/>
    <tableColumn id="7" xr3:uid="{00000000-0010-0000-0000-000007000000}" name="document_ready_date"/>
    <tableColumn id="8" xr3:uid="{00000000-0010-0000-0000-000008000000}" name="review_start_date"/>
    <tableColumn id="9" xr3:uid="{00000000-0010-0000-0000-000009000000}" name="decision_date"/>
    <tableColumn id="10" xr3:uid="{00000000-0010-0000-0000-00000A000000}" name="withdrawal_date"/>
    <tableColumn id="11" xr3:uid="{00000000-0010-0000-0000-00000B000000}" name="status"/>
    <tableColumn id="12" xr3:uid="{00000000-0010-0000-0000-00000C000000}" name="is_decisioned"/>
    <tableColumn id="13" xr3:uid="{00000000-0010-0000-0000-00000D000000}" name="decision_days"/>
    <tableColumn id="14" xr3:uid="{00000000-0010-0000-0000-00000E000000}" name="document_days"/>
    <tableColumn id="15" xr3:uid="{00000000-0010-0000-0000-00000F000000}" name="queue_days"/>
    <tableColumn id="16" xr3:uid="{00000000-0010-0000-0000-000010000000}" name="review_days"/>
    <tableColumn id="17" xr3:uid="{00000000-0010-0000-0000-000011000000}" name="open_age_days"/>
    <tableColumn id="18" xr3:uid="{00000000-0010-0000-0000-000012000000}" name="within_target"/>
    <tableColumn id="19" xr3:uid="{00000000-0010-0000-0000-000013000000}" name="submission_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wTable" displayName="RawTable" ref="A4:K616" totalsRowShown="0">
  <tableColumns count="11">
    <tableColumn id="1" xr3:uid="{00000000-0010-0000-0100-000001000000}" name="application_id"/>
    <tableColumn id="2" xr3:uid="{00000000-0010-0000-0100-000002000000}" name="submitted_date"/>
    <tableColumn id="3" xr3:uid="{00000000-0010-0000-0100-000003000000}" name="channel"/>
    <tableColumn id="4" xr3:uid="{00000000-0010-0000-0100-000004000000}" name="branch_id"/>
    <tableColumn id="5" xr3:uid="{00000000-0010-0000-0100-000005000000}" name="requested_amount"/>
    <tableColumn id="6" xr3:uid="{00000000-0010-0000-0100-000006000000}" name="missing_docs_at_intake"/>
    <tableColumn id="7" xr3:uid="{00000000-0010-0000-0100-000007000000}" name="document_ready_date"/>
    <tableColumn id="8" xr3:uid="{00000000-0010-0000-0100-000008000000}" name="review_start_date"/>
    <tableColumn id="9" xr3:uid="{00000000-0010-0000-0100-000009000000}" name="decision_date"/>
    <tableColumn id="10" xr3:uid="{00000000-0010-0000-0100-00000A000000}" name="withdrawal_date"/>
    <tableColumn id="11" xr3:uid="{00000000-0010-0000-0100-00000B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98BC-DC72-476C-92E9-B48927F098F8}">
  <dimension ref="A1:S620"/>
  <sheetViews>
    <sheetView showGridLines="0" workbookViewId="0">
      <pane xSplit="1" ySplit="4" topLeftCell="B5" activePane="bottomRight" state="frozen"/>
      <selection pane="topRight"/>
      <selection pane="bottomLeft"/>
      <selection pane="bottomRight" activeCell="L5" sqref="L5"/>
    </sheetView>
  </sheetViews>
  <sheetFormatPr defaultRowHeight="13.5"/>
  <cols>
    <col min="1" max="3" width="19" customWidth="1"/>
    <col min="4" max="4" width="14" customWidth="1"/>
    <col min="5" max="5" width="19" customWidth="1"/>
    <col min="6" max="6" width="23" customWidth="1"/>
    <col min="7" max="19" width="19" customWidth="1"/>
  </cols>
  <sheetData>
    <row r="1" spans="1:19" ht="23" customHeight="1">
      <c r="A1" s="1"/>
      <c r="B1" s="1"/>
      <c r="C1" s="1"/>
      <c r="D1" s="1"/>
      <c r="E1" s="1"/>
      <c r="F1" s="1"/>
      <c r="G1" s="1"/>
      <c r="H1" s="1"/>
      <c r="I1" s="1"/>
      <c r="J1" s="1"/>
      <c r="K1" s="1"/>
      <c r="L1" s="1"/>
      <c r="M1" s="1"/>
      <c r="N1" s="1"/>
      <c r="O1" s="1"/>
      <c r="P1" s="1"/>
      <c r="Q1" s="1"/>
      <c r="R1" s="1"/>
      <c r="S1" s="1"/>
    </row>
    <row r="2" spans="1:19" ht="23" customHeight="1">
      <c r="A2" s="12" t="s">
        <v>662</v>
      </c>
      <c r="B2" s="12"/>
      <c r="C2" s="12"/>
      <c r="D2" s="12"/>
      <c r="E2" s="12"/>
      <c r="F2" s="12"/>
      <c r="G2" s="12"/>
      <c r="H2" s="12"/>
      <c r="I2" s="12"/>
      <c r="J2" s="12"/>
      <c r="K2" s="12"/>
      <c r="L2" s="1"/>
      <c r="M2" s="1"/>
      <c r="N2" s="1"/>
      <c r="O2" s="1"/>
      <c r="P2" s="1"/>
      <c r="Q2" s="1"/>
      <c r="R2" s="1"/>
      <c r="S2" s="1"/>
    </row>
    <row r="3" spans="1:19" ht="23" customHeight="1">
      <c r="A3" s="1"/>
      <c r="B3" s="1"/>
      <c r="C3" s="1"/>
      <c r="D3" s="1"/>
      <c r="E3" s="1"/>
      <c r="F3" s="1"/>
      <c r="G3" s="1"/>
      <c r="H3" s="1"/>
      <c r="I3" s="1"/>
      <c r="J3" s="1"/>
      <c r="K3" s="1"/>
      <c r="L3" s="1"/>
      <c r="M3" s="1"/>
      <c r="N3" s="1"/>
      <c r="O3" s="1"/>
      <c r="P3" s="1"/>
      <c r="Q3" s="1"/>
      <c r="R3" s="1"/>
      <c r="S3" s="1"/>
    </row>
    <row r="4" spans="1:19" ht="38" customHeight="1">
      <c r="A4" s="6" t="s">
        <v>34</v>
      </c>
      <c r="B4" s="6" t="s">
        <v>35</v>
      </c>
      <c r="C4" s="6" t="s">
        <v>36</v>
      </c>
      <c r="D4" s="6" t="s">
        <v>37</v>
      </c>
      <c r="E4" s="6" t="s">
        <v>38</v>
      </c>
      <c r="F4" s="6" t="s">
        <v>39</v>
      </c>
      <c r="G4" s="6" t="s">
        <v>40</v>
      </c>
      <c r="H4" s="6" t="s">
        <v>41</v>
      </c>
      <c r="I4" s="6" t="s">
        <v>42</v>
      </c>
      <c r="J4" s="6" t="s">
        <v>43</v>
      </c>
      <c r="K4" s="6" t="s">
        <v>44</v>
      </c>
      <c r="L4" s="14" t="s">
        <v>727</v>
      </c>
      <c r="M4" s="1"/>
      <c r="N4" s="1"/>
      <c r="O4" s="1"/>
      <c r="P4" s="1"/>
      <c r="Q4" s="1"/>
      <c r="R4" s="1"/>
      <c r="S4" s="1"/>
    </row>
    <row r="5" spans="1:19" ht="23" customHeight="1">
      <c r="A5" s="1" t="s">
        <v>53</v>
      </c>
      <c r="B5" s="4">
        <v>46040</v>
      </c>
      <c r="C5" s="1" t="s">
        <v>663</v>
      </c>
      <c r="D5" s="1" t="s">
        <v>54</v>
      </c>
      <c r="E5" s="5">
        <v>16000</v>
      </c>
      <c r="F5" s="1">
        <v>0</v>
      </c>
      <c r="G5" s="4">
        <v>46042</v>
      </c>
      <c r="H5" s="4">
        <v>46046</v>
      </c>
      <c r="I5" s="4">
        <v>46049</v>
      </c>
      <c r="J5" s="4"/>
      <c r="K5" s="1" t="s">
        <v>55</v>
      </c>
      <c r="L5" s="1" t="str">
        <f t="shared" ref="L5:L68" si="0">PROPER(TRIM(C5))</f>
        <v>Online</v>
      </c>
      <c r="M5" s="1"/>
      <c r="N5" s="1"/>
      <c r="O5" s="1"/>
      <c r="P5" s="1"/>
      <c r="Q5" s="1"/>
      <c r="R5" s="1"/>
      <c r="S5" s="1"/>
    </row>
    <row r="6" spans="1:19" ht="23" customHeight="1">
      <c r="A6" s="1" t="s">
        <v>56</v>
      </c>
      <c r="B6" s="4">
        <v>46035</v>
      </c>
      <c r="C6" s="1" t="s">
        <v>663</v>
      </c>
      <c r="D6" s="1" t="s">
        <v>54</v>
      </c>
      <c r="E6" s="5">
        <v>15000</v>
      </c>
      <c r="F6" s="1">
        <v>0</v>
      </c>
      <c r="G6" s="4">
        <v>46037</v>
      </c>
      <c r="H6" s="4">
        <v>46039</v>
      </c>
      <c r="I6" s="4">
        <v>46042</v>
      </c>
      <c r="J6" s="4"/>
      <c r="K6" s="1" t="s">
        <v>55</v>
      </c>
      <c r="L6" s="1" t="str">
        <f t="shared" si="0"/>
        <v>Online</v>
      </c>
      <c r="M6" s="1"/>
      <c r="N6" s="1"/>
      <c r="O6" s="1"/>
      <c r="P6" s="1"/>
      <c r="Q6" s="1"/>
      <c r="R6" s="1"/>
      <c r="S6" s="1"/>
    </row>
    <row r="7" spans="1:19" ht="23" customHeight="1">
      <c r="A7" s="1" t="s">
        <v>57</v>
      </c>
      <c r="B7" s="4">
        <v>46103</v>
      </c>
      <c r="C7" s="1" t="s">
        <v>663</v>
      </c>
      <c r="D7" s="1" t="s">
        <v>54</v>
      </c>
      <c r="E7" s="5">
        <v>43000</v>
      </c>
      <c r="F7" s="1">
        <v>0</v>
      </c>
      <c r="G7" s="4">
        <v>46105</v>
      </c>
      <c r="H7" s="4">
        <v>46106</v>
      </c>
      <c r="I7" s="4">
        <v>46109</v>
      </c>
      <c r="J7" s="4"/>
      <c r="K7" s="1" t="s">
        <v>55</v>
      </c>
      <c r="L7" s="1" t="str">
        <f t="shared" si="0"/>
        <v>Online</v>
      </c>
      <c r="M7" s="1"/>
      <c r="N7" s="1"/>
      <c r="O7" s="1"/>
      <c r="P7" s="1"/>
      <c r="Q7" s="1"/>
      <c r="R7" s="1"/>
      <c r="S7" s="1"/>
    </row>
    <row r="8" spans="1:19" ht="23" customHeight="1">
      <c r="A8" s="1" t="s">
        <v>58</v>
      </c>
      <c r="B8" s="4">
        <v>46083</v>
      </c>
      <c r="C8" s="1" t="s">
        <v>664</v>
      </c>
      <c r="D8" s="1" t="s">
        <v>59</v>
      </c>
      <c r="E8" s="5">
        <v>12000</v>
      </c>
      <c r="F8" s="1">
        <v>0</v>
      </c>
      <c r="G8" s="4">
        <v>46085</v>
      </c>
      <c r="H8" s="4">
        <v>46088</v>
      </c>
      <c r="I8" s="4">
        <v>46091</v>
      </c>
      <c r="J8" s="4"/>
      <c r="K8" s="1" t="s">
        <v>55</v>
      </c>
      <c r="L8" s="1" t="str">
        <f t="shared" si="0"/>
        <v>Branch</v>
      </c>
      <c r="M8" s="1"/>
      <c r="N8" s="1"/>
      <c r="O8" s="1"/>
      <c r="P8" s="1"/>
      <c r="Q8" s="1"/>
      <c r="R8" s="1"/>
      <c r="S8" s="1"/>
    </row>
    <row r="9" spans="1:19" ht="23" customHeight="1">
      <c r="A9" s="1" t="s">
        <v>60</v>
      </c>
      <c r="B9" s="4">
        <v>46078</v>
      </c>
      <c r="C9" s="1" t="s">
        <v>663</v>
      </c>
      <c r="D9" s="1" t="s">
        <v>54</v>
      </c>
      <c r="E9" s="5">
        <v>6000</v>
      </c>
      <c r="F9" s="1">
        <v>0</v>
      </c>
      <c r="G9" s="4">
        <v>46080</v>
      </c>
      <c r="H9" s="4">
        <v>46085</v>
      </c>
      <c r="I9" s="4">
        <v>46086</v>
      </c>
      <c r="J9" s="4"/>
      <c r="K9" s="1" t="s">
        <v>55</v>
      </c>
      <c r="L9" s="1" t="str">
        <f t="shared" si="0"/>
        <v>Online</v>
      </c>
      <c r="M9" s="1"/>
      <c r="N9" s="1"/>
      <c r="O9" s="1"/>
      <c r="P9" s="1"/>
      <c r="Q9" s="1"/>
      <c r="R9" s="1"/>
      <c r="S9" s="1"/>
    </row>
    <row r="10" spans="1:19" ht="23" customHeight="1">
      <c r="A10" s="1" t="s">
        <v>61</v>
      </c>
      <c r="B10" s="4">
        <v>46083</v>
      </c>
      <c r="C10" s="1" t="s">
        <v>664</v>
      </c>
      <c r="D10" s="1" t="s">
        <v>62</v>
      </c>
      <c r="E10" s="5">
        <v>38000</v>
      </c>
      <c r="F10" s="1">
        <v>0</v>
      </c>
      <c r="G10" s="4">
        <v>46083</v>
      </c>
      <c r="H10" s="4">
        <v>46087</v>
      </c>
      <c r="I10" s="4">
        <v>46089</v>
      </c>
      <c r="J10" s="4"/>
      <c r="K10" s="1" t="s">
        <v>63</v>
      </c>
      <c r="L10" s="1" t="str">
        <f t="shared" si="0"/>
        <v>Branch</v>
      </c>
      <c r="M10" s="1"/>
      <c r="N10" s="1"/>
      <c r="O10" s="1"/>
      <c r="P10" s="1"/>
      <c r="Q10" s="1"/>
      <c r="R10" s="1"/>
      <c r="S10" s="1"/>
    </row>
    <row r="11" spans="1:19" ht="23" customHeight="1">
      <c r="A11" s="1" t="s">
        <v>64</v>
      </c>
      <c r="B11" s="4">
        <v>46092</v>
      </c>
      <c r="C11" s="1" t="s">
        <v>664</v>
      </c>
      <c r="D11" s="1" t="s">
        <v>65</v>
      </c>
      <c r="E11" s="5">
        <v>13000</v>
      </c>
      <c r="F11" s="1">
        <v>0</v>
      </c>
      <c r="G11" s="4">
        <v>46093</v>
      </c>
      <c r="H11" s="4">
        <v>46097</v>
      </c>
      <c r="I11" s="4">
        <v>46099</v>
      </c>
      <c r="J11" s="4"/>
      <c r="K11" s="1" t="s">
        <v>55</v>
      </c>
      <c r="L11" s="1" t="str">
        <f t="shared" si="0"/>
        <v>Branch</v>
      </c>
      <c r="M11" s="1"/>
      <c r="N11" s="1"/>
      <c r="O11" s="1"/>
      <c r="P11" s="1"/>
      <c r="Q11" s="1"/>
      <c r="R11" s="1"/>
      <c r="S11" s="1"/>
    </row>
    <row r="12" spans="1:19" ht="23" customHeight="1">
      <c r="A12" s="1" t="s">
        <v>66</v>
      </c>
      <c r="B12" s="4">
        <v>46038</v>
      </c>
      <c r="C12" s="1" t="s">
        <v>664</v>
      </c>
      <c r="D12" s="1" t="s">
        <v>62</v>
      </c>
      <c r="E12" s="5">
        <v>43000</v>
      </c>
      <c r="F12" s="1">
        <v>0</v>
      </c>
      <c r="G12" s="4">
        <v>46040</v>
      </c>
      <c r="H12" s="4">
        <v>46043</v>
      </c>
      <c r="I12" s="4">
        <v>46045</v>
      </c>
      <c r="J12" s="4"/>
      <c r="K12" s="1" t="s">
        <v>55</v>
      </c>
      <c r="L12" s="1" t="str">
        <f t="shared" si="0"/>
        <v>Branch</v>
      </c>
      <c r="M12" s="1"/>
      <c r="N12" s="1"/>
      <c r="O12" s="1"/>
      <c r="P12" s="1"/>
      <c r="Q12" s="1"/>
      <c r="R12" s="1"/>
      <c r="S12" s="1"/>
    </row>
    <row r="13" spans="1:19" ht="23" customHeight="1">
      <c r="A13" s="1" t="s">
        <v>67</v>
      </c>
      <c r="B13" s="4">
        <v>46103</v>
      </c>
      <c r="C13" s="1" t="s">
        <v>664</v>
      </c>
      <c r="D13" s="1" t="s">
        <v>65</v>
      </c>
      <c r="E13" s="5">
        <v>29000</v>
      </c>
      <c r="F13" s="1">
        <v>1</v>
      </c>
      <c r="G13" s="4">
        <v>46107</v>
      </c>
      <c r="H13" s="4">
        <v>46110</v>
      </c>
      <c r="I13" s="4">
        <v>46111</v>
      </c>
      <c r="J13" s="4"/>
      <c r="K13" s="1" t="s">
        <v>63</v>
      </c>
      <c r="L13" s="1" t="str">
        <f t="shared" si="0"/>
        <v>Branch</v>
      </c>
      <c r="M13" s="1"/>
      <c r="N13" s="1"/>
      <c r="O13" s="1"/>
      <c r="P13" s="1"/>
      <c r="Q13" s="1"/>
      <c r="R13" s="1"/>
      <c r="S13" s="1"/>
    </row>
    <row r="14" spans="1:19" ht="23" customHeight="1">
      <c r="A14" s="1" t="s">
        <v>68</v>
      </c>
      <c r="B14" s="4">
        <v>46110</v>
      </c>
      <c r="C14" s="1" t="s">
        <v>663</v>
      </c>
      <c r="D14" s="1" t="s">
        <v>54</v>
      </c>
      <c r="E14" s="5">
        <v>12000</v>
      </c>
      <c r="F14" s="1">
        <v>0</v>
      </c>
      <c r="G14" s="4">
        <v>46110</v>
      </c>
      <c r="H14" s="4"/>
      <c r="I14" s="4"/>
      <c r="J14" s="4"/>
      <c r="K14" s="1" t="s">
        <v>69</v>
      </c>
      <c r="L14" s="1" t="str">
        <f t="shared" si="0"/>
        <v>Online</v>
      </c>
      <c r="M14" s="1"/>
      <c r="N14" s="1"/>
      <c r="O14" s="1"/>
      <c r="P14" s="1"/>
      <c r="Q14" s="1"/>
      <c r="R14" s="1"/>
      <c r="S14" s="1"/>
    </row>
    <row r="15" spans="1:19" ht="23" customHeight="1">
      <c r="A15" s="1" t="s">
        <v>70</v>
      </c>
      <c r="B15" s="4">
        <v>46046</v>
      </c>
      <c r="C15" s="1" t="s">
        <v>664</v>
      </c>
      <c r="D15" s="1" t="s">
        <v>71</v>
      </c>
      <c r="E15" s="5">
        <v>33000</v>
      </c>
      <c r="F15" s="1">
        <v>1</v>
      </c>
      <c r="G15" s="4">
        <v>46056</v>
      </c>
      <c r="H15" s="4">
        <v>46057</v>
      </c>
      <c r="I15" s="4">
        <v>46058</v>
      </c>
      <c r="J15" s="4"/>
      <c r="K15" s="1" t="s">
        <v>63</v>
      </c>
      <c r="L15" s="1" t="str">
        <f t="shared" si="0"/>
        <v>Branch</v>
      </c>
      <c r="M15" s="1"/>
      <c r="N15" s="1"/>
      <c r="O15" s="1"/>
      <c r="P15" s="1"/>
      <c r="Q15" s="1"/>
      <c r="R15" s="1"/>
      <c r="S15" s="1"/>
    </row>
    <row r="16" spans="1:19" ht="23" customHeight="1">
      <c r="A16" s="1" t="s">
        <v>72</v>
      </c>
      <c r="B16" s="4">
        <v>46100</v>
      </c>
      <c r="C16" s="1" t="s">
        <v>664</v>
      </c>
      <c r="D16" s="1" t="s">
        <v>59</v>
      </c>
      <c r="E16" s="5">
        <v>30000</v>
      </c>
      <c r="F16" s="1">
        <v>0</v>
      </c>
      <c r="G16" s="4">
        <v>46100</v>
      </c>
      <c r="H16" s="4">
        <v>46104</v>
      </c>
      <c r="I16" s="4">
        <v>46106</v>
      </c>
      <c r="J16" s="4"/>
      <c r="K16" s="1" t="s">
        <v>63</v>
      </c>
      <c r="L16" s="1" t="str">
        <f t="shared" si="0"/>
        <v>Branch</v>
      </c>
      <c r="M16" s="1"/>
      <c r="N16" s="1"/>
      <c r="O16" s="1"/>
      <c r="P16" s="1"/>
      <c r="Q16" s="1"/>
      <c r="R16" s="1"/>
      <c r="S16" s="1"/>
    </row>
    <row r="17" spans="1:19" ht="23" customHeight="1">
      <c r="A17" s="1" t="s">
        <v>73</v>
      </c>
      <c r="B17" s="4">
        <v>46078</v>
      </c>
      <c r="C17" s="1" t="s">
        <v>664</v>
      </c>
      <c r="D17" s="1" t="s">
        <v>62</v>
      </c>
      <c r="E17" s="5">
        <v>30000</v>
      </c>
      <c r="F17" s="1">
        <v>0</v>
      </c>
      <c r="G17" s="4">
        <v>46080</v>
      </c>
      <c r="H17" s="4">
        <v>46086</v>
      </c>
      <c r="I17" s="4">
        <v>46087</v>
      </c>
      <c r="J17" s="4"/>
      <c r="K17" s="1" t="s">
        <v>55</v>
      </c>
      <c r="L17" s="1" t="str">
        <f t="shared" si="0"/>
        <v>Branch</v>
      </c>
      <c r="M17" s="1"/>
      <c r="N17" s="1"/>
      <c r="O17" s="1"/>
      <c r="P17" s="1"/>
      <c r="Q17" s="1"/>
      <c r="R17" s="1"/>
      <c r="S17" s="1"/>
    </row>
    <row r="18" spans="1:19" ht="23" customHeight="1">
      <c r="A18" s="1" t="s">
        <v>74</v>
      </c>
      <c r="B18" s="4">
        <v>46074</v>
      </c>
      <c r="C18" s="1" t="s">
        <v>663</v>
      </c>
      <c r="D18" s="1" t="s">
        <v>54</v>
      </c>
      <c r="E18" s="5">
        <v>20000</v>
      </c>
      <c r="F18" s="1">
        <v>0</v>
      </c>
      <c r="G18" s="4">
        <v>46075</v>
      </c>
      <c r="H18" s="4">
        <v>46081</v>
      </c>
      <c r="I18" s="4">
        <v>46082</v>
      </c>
      <c r="J18" s="4"/>
      <c r="K18" s="1" t="s">
        <v>63</v>
      </c>
      <c r="L18" s="1" t="str">
        <f t="shared" si="0"/>
        <v>Online</v>
      </c>
      <c r="M18" s="1"/>
      <c r="N18" s="1"/>
      <c r="O18" s="1"/>
      <c r="P18" s="1"/>
      <c r="Q18" s="1"/>
      <c r="R18" s="1"/>
      <c r="S18" s="1"/>
    </row>
    <row r="19" spans="1:19" ht="23" customHeight="1">
      <c r="A19" s="1" t="s">
        <v>75</v>
      </c>
      <c r="B19" s="4">
        <v>46049</v>
      </c>
      <c r="C19" s="1" t="s">
        <v>663</v>
      </c>
      <c r="D19" s="1" t="s">
        <v>54</v>
      </c>
      <c r="E19" s="5">
        <v>18000</v>
      </c>
      <c r="F19" s="1">
        <v>0</v>
      </c>
      <c r="G19" s="4">
        <v>46050</v>
      </c>
      <c r="H19" s="4">
        <v>46051</v>
      </c>
      <c r="I19" s="4">
        <v>46052</v>
      </c>
      <c r="J19" s="4"/>
      <c r="K19" s="1" t="s">
        <v>55</v>
      </c>
      <c r="L19" s="1" t="str">
        <f t="shared" si="0"/>
        <v>Online</v>
      </c>
      <c r="M19" s="1"/>
      <c r="N19" s="1"/>
      <c r="O19" s="1"/>
      <c r="P19" s="1"/>
      <c r="Q19" s="1"/>
      <c r="R19" s="1"/>
      <c r="S19" s="1"/>
    </row>
    <row r="20" spans="1:19" ht="23" customHeight="1">
      <c r="A20" s="1" t="s">
        <v>76</v>
      </c>
      <c r="B20" s="4">
        <v>46090</v>
      </c>
      <c r="C20" s="1" t="s">
        <v>663</v>
      </c>
      <c r="D20" s="1" t="s">
        <v>54</v>
      </c>
      <c r="E20" s="5">
        <v>16000</v>
      </c>
      <c r="F20" s="1">
        <v>0</v>
      </c>
      <c r="G20" s="4">
        <v>46092</v>
      </c>
      <c r="H20" s="4">
        <v>46097</v>
      </c>
      <c r="I20" s="4">
        <v>46100</v>
      </c>
      <c r="J20" s="4"/>
      <c r="K20" s="1" t="s">
        <v>55</v>
      </c>
      <c r="L20" s="1" t="str">
        <f t="shared" si="0"/>
        <v>Online</v>
      </c>
      <c r="M20" s="1"/>
      <c r="N20" s="1"/>
      <c r="O20" s="1"/>
      <c r="P20" s="1"/>
      <c r="Q20" s="1"/>
      <c r="R20" s="1"/>
      <c r="S20" s="1"/>
    </row>
    <row r="21" spans="1:19" ht="23" customHeight="1">
      <c r="A21" s="1" t="s">
        <v>77</v>
      </c>
      <c r="B21" s="4">
        <v>46078</v>
      </c>
      <c r="C21" s="1" t="s">
        <v>663</v>
      </c>
      <c r="D21" s="1" t="s">
        <v>54</v>
      </c>
      <c r="E21" s="5">
        <v>17000</v>
      </c>
      <c r="F21" s="1">
        <v>0</v>
      </c>
      <c r="G21" s="4">
        <v>46078</v>
      </c>
      <c r="H21" s="4">
        <v>46082</v>
      </c>
      <c r="I21" s="4">
        <v>46083</v>
      </c>
      <c r="J21" s="4"/>
      <c r="K21" s="1" t="s">
        <v>55</v>
      </c>
      <c r="L21" s="1" t="str">
        <f t="shared" si="0"/>
        <v>Online</v>
      </c>
      <c r="M21" s="1"/>
      <c r="N21" s="1"/>
      <c r="O21" s="1"/>
      <c r="P21" s="1"/>
      <c r="Q21" s="1"/>
      <c r="R21" s="1"/>
      <c r="S21" s="1"/>
    </row>
    <row r="22" spans="1:19" ht="23" customHeight="1">
      <c r="A22" s="1" t="s">
        <v>78</v>
      </c>
      <c r="B22" s="4">
        <v>46036</v>
      </c>
      <c r="C22" s="1" t="s">
        <v>664</v>
      </c>
      <c r="D22" s="1" t="s">
        <v>62</v>
      </c>
      <c r="E22" s="5">
        <v>33000</v>
      </c>
      <c r="F22" s="1">
        <v>0</v>
      </c>
      <c r="G22" s="4">
        <v>46038</v>
      </c>
      <c r="H22" s="4">
        <v>46046</v>
      </c>
      <c r="I22" s="4">
        <v>46049</v>
      </c>
      <c r="J22" s="4"/>
      <c r="K22" s="1" t="s">
        <v>55</v>
      </c>
      <c r="L22" s="1" t="str">
        <f t="shared" si="0"/>
        <v>Branch</v>
      </c>
      <c r="M22" s="1"/>
      <c r="N22" s="1"/>
      <c r="O22" s="1"/>
      <c r="P22" s="1"/>
      <c r="Q22" s="1"/>
      <c r="R22" s="1"/>
      <c r="S22" s="1"/>
    </row>
    <row r="23" spans="1:19" ht="23" customHeight="1">
      <c r="A23" s="1" t="s">
        <v>79</v>
      </c>
      <c r="B23" s="4">
        <v>46031</v>
      </c>
      <c r="C23" s="1" t="s">
        <v>19</v>
      </c>
      <c r="D23" s="1" t="s">
        <v>54</v>
      </c>
      <c r="E23" s="5">
        <v>32000</v>
      </c>
      <c r="F23" s="1">
        <v>1</v>
      </c>
      <c r="G23" s="4">
        <v>46039</v>
      </c>
      <c r="H23" s="4">
        <v>46045</v>
      </c>
      <c r="I23" s="4">
        <v>46047</v>
      </c>
      <c r="J23" s="4"/>
      <c r="K23" s="1" t="s">
        <v>55</v>
      </c>
      <c r="L23" s="1" t="str">
        <f t="shared" si="0"/>
        <v>Online</v>
      </c>
      <c r="M23" s="1"/>
      <c r="N23" s="1"/>
      <c r="O23" s="1"/>
      <c r="P23" s="1"/>
      <c r="Q23" s="1"/>
      <c r="R23" s="1"/>
      <c r="S23" s="1"/>
    </row>
    <row r="24" spans="1:19" ht="23" customHeight="1">
      <c r="A24" s="1" t="s">
        <v>80</v>
      </c>
      <c r="B24" s="4">
        <v>46093</v>
      </c>
      <c r="C24" s="1" t="s">
        <v>18</v>
      </c>
      <c r="D24" s="1" t="s">
        <v>59</v>
      </c>
      <c r="E24" s="5">
        <v>5000</v>
      </c>
      <c r="F24" s="1">
        <v>0</v>
      </c>
      <c r="G24" s="4">
        <v>46095</v>
      </c>
      <c r="H24" s="4">
        <v>46097</v>
      </c>
      <c r="I24" s="4">
        <v>46100</v>
      </c>
      <c r="J24" s="4"/>
      <c r="K24" s="1" t="s">
        <v>55</v>
      </c>
      <c r="L24" s="1" t="str">
        <f t="shared" si="0"/>
        <v>Branch</v>
      </c>
      <c r="M24" s="1"/>
      <c r="N24" s="1"/>
      <c r="O24" s="1"/>
      <c r="P24" s="1"/>
      <c r="Q24" s="1"/>
      <c r="R24" s="1"/>
      <c r="S24" s="1"/>
    </row>
    <row r="25" spans="1:19" ht="23" customHeight="1">
      <c r="A25" s="1" t="s">
        <v>81</v>
      </c>
      <c r="B25" s="4">
        <v>46106</v>
      </c>
      <c r="C25" s="1" t="s">
        <v>18</v>
      </c>
      <c r="D25" s="1" t="s">
        <v>71</v>
      </c>
      <c r="E25" s="5">
        <v>28000</v>
      </c>
      <c r="F25" s="1">
        <v>0</v>
      </c>
      <c r="G25" s="4">
        <v>46107</v>
      </c>
      <c r="H25" s="4">
        <v>46110</v>
      </c>
      <c r="I25" s="4"/>
      <c r="J25" s="4"/>
      <c r="K25" s="1" t="s">
        <v>69</v>
      </c>
      <c r="L25" s="1" t="str">
        <f t="shared" si="0"/>
        <v>Branch</v>
      </c>
      <c r="M25" s="1"/>
      <c r="N25" s="1"/>
      <c r="O25" s="1"/>
      <c r="P25" s="1"/>
      <c r="Q25" s="1"/>
      <c r="R25" s="1"/>
      <c r="S25" s="1"/>
    </row>
    <row r="26" spans="1:19" ht="23" customHeight="1">
      <c r="A26" s="1" t="s">
        <v>82</v>
      </c>
      <c r="B26" s="4">
        <v>46079</v>
      </c>
      <c r="C26" s="1" t="s">
        <v>19</v>
      </c>
      <c r="D26" s="1" t="s">
        <v>54</v>
      </c>
      <c r="E26" s="5">
        <v>44000</v>
      </c>
      <c r="F26" s="1">
        <v>0</v>
      </c>
      <c r="G26" s="4">
        <v>46081</v>
      </c>
      <c r="H26" s="4">
        <v>46083</v>
      </c>
      <c r="I26" s="4">
        <v>46085</v>
      </c>
      <c r="J26" s="4"/>
      <c r="K26" s="1" t="s">
        <v>63</v>
      </c>
      <c r="L26" s="1" t="str">
        <f t="shared" si="0"/>
        <v>Online</v>
      </c>
      <c r="M26" s="1"/>
      <c r="N26" s="1"/>
      <c r="O26" s="1"/>
      <c r="P26" s="1"/>
      <c r="Q26" s="1"/>
      <c r="R26" s="1"/>
      <c r="S26" s="1"/>
    </row>
    <row r="27" spans="1:19" ht="23" customHeight="1">
      <c r="A27" s="1" t="s">
        <v>83</v>
      </c>
      <c r="B27" s="4">
        <v>46101</v>
      </c>
      <c r="C27" s="1" t="s">
        <v>18</v>
      </c>
      <c r="D27" s="1" t="s">
        <v>59</v>
      </c>
      <c r="E27" s="5">
        <v>6000</v>
      </c>
      <c r="F27" s="1">
        <v>0</v>
      </c>
      <c r="G27" s="4">
        <v>46101</v>
      </c>
      <c r="H27" s="4">
        <v>46105</v>
      </c>
      <c r="I27" s="4">
        <v>46108</v>
      </c>
      <c r="J27" s="4"/>
      <c r="K27" s="1" t="s">
        <v>55</v>
      </c>
      <c r="L27" s="1" t="str">
        <f t="shared" si="0"/>
        <v>Branch</v>
      </c>
      <c r="M27" s="1"/>
      <c r="N27" s="1"/>
      <c r="O27" s="1"/>
      <c r="P27" s="1"/>
      <c r="Q27" s="1"/>
      <c r="R27" s="1"/>
      <c r="S27" s="1"/>
    </row>
    <row r="28" spans="1:19" ht="23" customHeight="1">
      <c r="A28" s="1" t="s">
        <v>84</v>
      </c>
      <c r="B28" s="4">
        <v>46072</v>
      </c>
      <c r="C28" s="1" t="s">
        <v>19</v>
      </c>
      <c r="D28" s="1" t="s">
        <v>54</v>
      </c>
      <c r="E28" s="5">
        <v>11000</v>
      </c>
      <c r="F28" s="1">
        <v>0</v>
      </c>
      <c r="G28" s="4">
        <v>46073</v>
      </c>
      <c r="H28" s="4">
        <v>46077</v>
      </c>
      <c r="I28" s="4">
        <v>46079</v>
      </c>
      <c r="J28" s="4"/>
      <c r="K28" s="1" t="s">
        <v>55</v>
      </c>
      <c r="L28" s="1" t="str">
        <f t="shared" si="0"/>
        <v>Online</v>
      </c>
      <c r="M28" s="1"/>
      <c r="N28" s="1"/>
      <c r="O28" s="1"/>
      <c r="P28" s="1"/>
      <c r="Q28" s="1"/>
      <c r="R28" s="1"/>
      <c r="S28" s="1"/>
    </row>
    <row r="29" spans="1:19" ht="23" customHeight="1">
      <c r="A29" s="1" t="s">
        <v>85</v>
      </c>
      <c r="B29" s="4">
        <v>46069</v>
      </c>
      <c r="C29" s="1" t="s">
        <v>18</v>
      </c>
      <c r="D29" s="1" t="s">
        <v>59</v>
      </c>
      <c r="E29" s="5">
        <v>29000</v>
      </c>
      <c r="F29" s="1">
        <v>1</v>
      </c>
      <c r="G29" s="4"/>
      <c r="H29" s="4"/>
      <c r="I29" s="4"/>
      <c r="J29" s="4">
        <v>46071</v>
      </c>
      <c r="K29" s="1" t="s">
        <v>86</v>
      </c>
      <c r="L29" s="1" t="str">
        <f t="shared" si="0"/>
        <v>Branch</v>
      </c>
      <c r="M29" s="1"/>
      <c r="N29" s="1"/>
      <c r="O29" s="1"/>
      <c r="P29" s="1"/>
      <c r="Q29" s="1"/>
      <c r="R29" s="1"/>
      <c r="S29" s="1"/>
    </row>
    <row r="30" spans="1:19" ht="23" customHeight="1">
      <c r="A30" s="1" t="s">
        <v>87</v>
      </c>
      <c r="B30" s="4">
        <v>46036</v>
      </c>
      <c r="C30" s="1" t="s">
        <v>19</v>
      </c>
      <c r="D30" s="1" t="s">
        <v>54</v>
      </c>
      <c r="E30" s="5">
        <v>46000</v>
      </c>
      <c r="F30" s="1">
        <v>0</v>
      </c>
      <c r="G30" s="4">
        <v>46038</v>
      </c>
      <c r="H30" s="4">
        <v>46039</v>
      </c>
      <c r="I30" s="4">
        <v>46040</v>
      </c>
      <c r="J30" s="4"/>
      <c r="K30" s="1" t="s">
        <v>55</v>
      </c>
      <c r="L30" s="1" t="str">
        <f t="shared" si="0"/>
        <v>Online</v>
      </c>
      <c r="M30" s="1"/>
      <c r="N30" s="1"/>
      <c r="O30" s="1"/>
      <c r="P30" s="1"/>
      <c r="Q30" s="1"/>
      <c r="R30" s="1"/>
      <c r="S30" s="1"/>
    </row>
    <row r="31" spans="1:19" ht="23" customHeight="1">
      <c r="A31" s="1" t="s">
        <v>88</v>
      </c>
      <c r="B31" s="4">
        <v>46045</v>
      </c>
      <c r="C31" s="1" t="s">
        <v>19</v>
      </c>
      <c r="D31" s="1" t="s">
        <v>54</v>
      </c>
      <c r="E31" s="5">
        <v>12000</v>
      </c>
      <c r="F31" s="1">
        <v>0</v>
      </c>
      <c r="G31" s="4">
        <v>46047</v>
      </c>
      <c r="H31" s="4">
        <v>46053</v>
      </c>
      <c r="I31" s="4">
        <v>46056</v>
      </c>
      <c r="J31" s="4"/>
      <c r="K31" s="1" t="s">
        <v>63</v>
      </c>
      <c r="L31" s="1" t="str">
        <f t="shared" si="0"/>
        <v>Online</v>
      </c>
      <c r="M31" s="1"/>
      <c r="N31" s="1"/>
      <c r="O31" s="1"/>
      <c r="P31" s="1"/>
      <c r="Q31" s="1"/>
      <c r="R31" s="1"/>
      <c r="S31" s="1"/>
    </row>
    <row r="32" spans="1:19" ht="23" customHeight="1">
      <c r="A32" s="1" t="s">
        <v>89</v>
      </c>
      <c r="B32" s="4">
        <v>46052</v>
      </c>
      <c r="C32" s="1" t="s">
        <v>19</v>
      </c>
      <c r="D32" s="1" t="s">
        <v>54</v>
      </c>
      <c r="E32" s="5">
        <v>27000</v>
      </c>
      <c r="F32" s="1">
        <v>0</v>
      </c>
      <c r="G32" s="4">
        <v>46053</v>
      </c>
      <c r="H32" s="4">
        <v>46055</v>
      </c>
      <c r="I32" s="4">
        <v>46057</v>
      </c>
      <c r="J32" s="4"/>
      <c r="K32" s="1" t="s">
        <v>63</v>
      </c>
      <c r="L32" s="1" t="str">
        <f t="shared" si="0"/>
        <v>Online</v>
      </c>
      <c r="M32" s="1"/>
      <c r="N32" s="1"/>
      <c r="O32" s="1"/>
      <c r="P32" s="1"/>
      <c r="Q32" s="1"/>
      <c r="R32" s="1"/>
      <c r="S32" s="1"/>
    </row>
    <row r="33" spans="1:19" ht="23" customHeight="1">
      <c r="A33" s="1" t="s">
        <v>90</v>
      </c>
      <c r="B33" s="4">
        <v>46073</v>
      </c>
      <c r="C33" s="1" t="s">
        <v>18</v>
      </c>
      <c r="D33" s="1" t="s">
        <v>65</v>
      </c>
      <c r="E33" s="5">
        <v>11000</v>
      </c>
      <c r="F33" s="1">
        <v>1</v>
      </c>
      <c r="G33" s="4">
        <v>46077</v>
      </c>
      <c r="H33" s="4">
        <v>46082</v>
      </c>
      <c r="I33" s="4">
        <v>46085</v>
      </c>
      <c r="J33" s="4"/>
      <c r="K33" s="1" t="s">
        <v>55</v>
      </c>
      <c r="L33" s="1" t="str">
        <f t="shared" si="0"/>
        <v>Branch</v>
      </c>
      <c r="M33" s="1"/>
      <c r="N33" s="1"/>
      <c r="O33" s="1"/>
      <c r="P33" s="1"/>
      <c r="Q33" s="1"/>
      <c r="R33" s="1"/>
      <c r="S33" s="1"/>
    </row>
    <row r="34" spans="1:19" ht="23" customHeight="1">
      <c r="A34" s="1" t="s">
        <v>91</v>
      </c>
      <c r="B34" s="4">
        <v>46073</v>
      </c>
      <c r="C34" s="1" t="s">
        <v>18</v>
      </c>
      <c r="D34" s="1" t="s">
        <v>59</v>
      </c>
      <c r="E34" s="5">
        <v>31000</v>
      </c>
      <c r="F34" s="1">
        <v>1</v>
      </c>
      <c r="G34" s="4">
        <v>46076</v>
      </c>
      <c r="H34" s="4">
        <v>46080</v>
      </c>
      <c r="I34" s="4">
        <v>46081</v>
      </c>
      <c r="J34" s="4"/>
      <c r="K34" s="1" t="s">
        <v>55</v>
      </c>
      <c r="L34" s="1" t="str">
        <f t="shared" si="0"/>
        <v>Branch</v>
      </c>
      <c r="M34" s="1"/>
      <c r="N34" s="1"/>
      <c r="O34" s="1"/>
      <c r="P34" s="1"/>
      <c r="Q34" s="1"/>
      <c r="R34" s="1"/>
      <c r="S34" s="1"/>
    </row>
    <row r="35" spans="1:19" ht="23" customHeight="1">
      <c r="A35" s="1" t="s">
        <v>92</v>
      </c>
      <c r="B35" s="4">
        <v>46107</v>
      </c>
      <c r="C35" s="1" t="s">
        <v>19</v>
      </c>
      <c r="D35" s="1" t="s">
        <v>54</v>
      </c>
      <c r="E35" s="5">
        <v>24000</v>
      </c>
      <c r="F35" s="1">
        <v>0</v>
      </c>
      <c r="G35" s="4">
        <v>46108</v>
      </c>
      <c r="H35" s="4">
        <v>46112</v>
      </c>
      <c r="I35" s="4"/>
      <c r="J35" s="4"/>
      <c r="K35" s="1" t="s">
        <v>69</v>
      </c>
      <c r="L35" s="1" t="str">
        <f t="shared" si="0"/>
        <v>Online</v>
      </c>
      <c r="M35" s="1"/>
      <c r="N35" s="1"/>
      <c r="O35" s="1"/>
      <c r="P35" s="1"/>
      <c r="Q35" s="1"/>
      <c r="R35" s="1"/>
      <c r="S35" s="1"/>
    </row>
    <row r="36" spans="1:19" ht="23" customHeight="1">
      <c r="A36" s="1" t="s">
        <v>93</v>
      </c>
      <c r="B36" s="4">
        <v>46040</v>
      </c>
      <c r="C36" s="1" t="s">
        <v>19</v>
      </c>
      <c r="D36" s="1" t="s">
        <v>54</v>
      </c>
      <c r="E36" s="5">
        <v>21000</v>
      </c>
      <c r="F36" s="1">
        <v>0</v>
      </c>
      <c r="G36" s="4">
        <v>46040</v>
      </c>
      <c r="H36" s="4">
        <v>46046</v>
      </c>
      <c r="I36" s="4">
        <v>46049</v>
      </c>
      <c r="J36" s="4"/>
      <c r="K36" s="1" t="s">
        <v>55</v>
      </c>
      <c r="L36" s="1" t="str">
        <f t="shared" si="0"/>
        <v>Online</v>
      </c>
      <c r="M36" s="1"/>
      <c r="N36" s="1"/>
      <c r="O36" s="1"/>
      <c r="P36" s="1"/>
      <c r="Q36" s="1"/>
      <c r="R36" s="1"/>
      <c r="S36" s="1"/>
    </row>
    <row r="37" spans="1:19" ht="23" customHeight="1">
      <c r="A37" s="1" t="s">
        <v>94</v>
      </c>
      <c r="B37" s="4">
        <v>46057</v>
      </c>
      <c r="C37" s="1" t="s">
        <v>19</v>
      </c>
      <c r="D37" s="1" t="s">
        <v>54</v>
      </c>
      <c r="E37" s="5">
        <v>14000</v>
      </c>
      <c r="F37" s="1">
        <v>0</v>
      </c>
      <c r="G37" s="4">
        <v>46059</v>
      </c>
      <c r="H37" s="4">
        <v>46062</v>
      </c>
      <c r="I37" s="4">
        <v>46065</v>
      </c>
      <c r="J37" s="4"/>
      <c r="K37" s="1" t="s">
        <v>63</v>
      </c>
      <c r="L37" s="1" t="str">
        <f t="shared" si="0"/>
        <v>Online</v>
      </c>
      <c r="M37" s="1"/>
      <c r="N37" s="1"/>
      <c r="O37" s="1"/>
      <c r="P37" s="1"/>
      <c r="Q37" s="1"/>
      <c r="R37" s="1"/>
      <c r="S37" s="1"/>
    </row>
    <row r="38" spans="1:19" ht="23" customHeight="1">
      <c r="A38" s="1" t="s">
        <v>95</v>
      </c>
      <c r="B38" s="4">
        <v>46090</v>
      </c>
      <c r="C38" s="1" t="s">
        <v>19</v>
      </c>
      <c r="D38" s="1" t="s">
        <v>54</v>
      </c>
      <c r="E38" s="5">
        <v>16000</v>
      </c>
      <c r="F38" s="1">
        <v>0</v>
      </c>
      <c r="G38" s="4">
        <v>46090</v>
      </c>
      <c r="H38" s="4">
        <v>46094</v>
      </c>
      <c r="I38" s="4">
        <v>46097</v>
      </c>
      <c r="J38" s="4"/>
      <c r="K38" s="1" t="s">
        <v>55</v>
      </c>
      <c r="L38" s="1" t="str">
        <f t="shared" si="0"/>
        <v>Online</v>
      </c>
      <c r="M38" s="1"/>
      <c r="N38" s="1"/>
      <c r="O38" s="1"/>
      <c r="P38" s="1"/>
      <c r="Q38" s="1"/>
      <c r="R38" s="1"/>
      <c r="S38" s="1"/>
    </row>
    <row r="39" spans="1:19" ht="23" customHeight="1">
      <c r="A39" s="1" t="s">
        <v>96</v>
      </c>
      <c r="B39" s="4">
        <v>46112</v>
      </c>
      <c r="C39" s="1" t="s">
        <v>19</v>
      </c>
      <c r="D39" s="1" t="s">
        <v>54</v>
      </c>
      <c r="E39" s="5">
        <v>23000</v>
      </c>
      <c r="F39" s="1">
        <v>0</v>
      </c>
      <c r="G39" s="4">
        <v>46112</v>
      </c>
      <c r="H39" s="4"/>
      <c r="I39" s="4"/>
      <c r="J39" s="4"/>
      <c r="K39" s="1" t="s">
        <v>69</v>
      </c>
      <c r="L39" s="1" t="str">
        <f t="shared" si="0"/>
        <v>Online</v>
      </c>
      <c r="M39" s="1"/>
      <c r="N39" s="1"/>
      <c r="O39" s="1"/>
      <c r="P39" s="1"/>
      <c r="Q39" s="1"/>
      <c r="R39" s="1"/>
      <c r="S39" s="1"/>
    </row>
    <row r="40" spans="1:19" ht="23" customHeight="1">
      <c r="A40" s="1" t="s">
        <v>97</v>
      </c>
      <c r="B40" s="4">
        <v>46093</v>
      </c>
      <c r="C40" s="1" t="s">
        <v>19</v>
      </c>
      <c r="D40" s="1" t="s">
        <v>54</v>
      </c>
      <c r="E40" s="5">
        <v>28000</v>
      </c>
      <c r="F40" s="1">
        <v>0</v>
      </c>
      <c r="G40" s="4">
        <v>46094</v>
      </c>
      <c r="H40" s="4">
        <v>46097</v>
      </c>
      <c r="I40" s="4">
        <v>46098</v>
      </c>
      <c r="J40" s="4"/>
      <c r="K40" s="1" t="s">
        <v>63</v>
      </c>
      <c r="L40" s="1" t="str">
        <f t="shared" si="0"/>
        <v>Online</v>
      </c>
      <c r="M40" s="1"/>
      <c r="N40" s="1"/>
      <c r="O40" s="1"/>
      <c r="P40" s="1"/>
      <c r="Q40" s="1"/>
      <c r="R40" s="1"/>
      <c r="S40" s="1"/>
    </row>
    <row r="41" spans="1:19" ht="23" customHeight="1">
      <c r="A41" s="1" t="s">
        <v>98</v>
      </c>
      <c r="B41" s="4">
        <v>46043</v>
      </c>
      <c r="C41" s="1" t="s">
        <v>19</v>
      </c>
      <c r="D41" s="1" t="s">
        <v>54</v>
      </c>
      <c r="E41" s="5">
        <v>14000</v>
      </c>
      <c r="F41" s="1">
        <v>1</v>
      </c>
      <c r="G41" s="4">
        <v>46051</v>
      </c>
      <c r="H41" s="4">
        <v>46054</v>
      </c>
      <c r="I41" s="4">
        <v>46055</v>
      </c>
      <c r="J41" s="4"/>
      <c r="K41" s="1" t="s">
        <v>55</v>
      </c>
      <c r="L41" s="1" t="str">
        <f t="shared" si="0"/>
        <v>Online</v>
      </c>
      <c r="M41" s="1"/>
      <c r="N41" s="1"/>
      <c r="O41" s="1"/>
      <c r="P41" s="1"/>
      <c r="Q41" s="1"/>
      <c r="R41" s="1"/>
      <c r="S41" s="1"/>
    </row>
    <row r="42" spans="1:19" ht="23" customHeight="1">
      <c r="A42" s="1" t="s">
        <v>99</v>
      </c>
      <c r="B42" s="4">
        <v>46030</v>
      </c>
      <c r="C42" s="1" t="s">
        <v>18</v>
      </c>
      <c r="D42" s="1" t="s">
        <v>71</v>
      </c>
      <c r="E42" s="5">
        <v>35000</v>
      </c>
      <c r="F42" s="1">
        <v>1</v>
      </c>
      <c r="G42" s="4"/>
      <c r="H42" s="4"/>
      <c r="I42" s="4"/>
      <c r="J42" s="4">
        <v>46032</v>
      </c>
      <c r="K42" s="1" t="s">
        <v>86</v>
      </c>
      <c r="L42" s="1" t="str">
        <f t="shared" si="0"/>
        <v>Branch</v>
      </c>
      <c r="M42" s="1"/>
      <c r="N42" s="1"/>
      <c r="O42" s="1"/>
      <c r="P42" s="1"/>
      <c r="Q42" s="1"/>
      <c r="R42" s="1"/>
      <c r="S42" s="1"/>
    </row>
    <row r="43" spans="1:19" ht="23" customHeight="1">
      <c r="A43" s="1" t="s">
        <v>100</v>
      </c>
      <c r="B43" s="4">
        <v>46038</v>
      </c>
      <c r="C43" s="1" t="s">
        <v>18</v>
      </c>
      <c r="D43" s="1" t="s">
        <v>62</v>
      </c>
      <c r="E43" s="5">
        <v>27000</v>
      </c>
      <c r="F43" s="1">
        <v>0</v>
      </c>
      <c r="G43" s="4">
        <v>46040</v>
      </c>
      <c r="H43" s="4">
        <v>46045</v>
      </c>
      <c r="I43" s="4">
        <v>46047</v>
      </c>
      <c r="J43" s="4"/>
      <c r="K43" s="1" t="s">
        <v>55</v>
      </c>
      <c r="L43" s="1" t="str">
        <f t="shared" si="0"/>
        <v>Branch</v>
      </c>
      <c r="M43" s="1"/>
      <c r="N43" s="1"/>
      <c r="O43" s="1"/>
      <c r="P43" s="1"/>
      <c r="Q43" s="1"/>
      <c r="R43" s="1"/>
      <c r="S43" s="1"/>
    </row>
    <row r="44" spans="1:19" ht="23" customHeight="1">
      <c r="A44" s="1" t="s">
        <v>101</v>
      </c>
      <c r="B44" s="4">
        <v>46054</v>
      </c>
      <c r="C44" s="1" t="s">
        <v>18</v>
      </c>
      <c r="D44" s="1" t="s">
        <v>62</v>
      </c>
      <c r="E44" s="5">
        <v>31000</v>
      </c>
      <c r="F44" s="1">
        <v>0</v>
      </c>
      <c r="G44" s="4">
        <v>46054</v>
      </c>
      <c r="H44" s="4">
        <v>46060</v>
      </c>
      <c r="I44" s="4">
        <v>46062</v>
      </c>
      <c r="J44" s="4"/>
      <c r="K44" s="1" t="s">
        <v>63</v>
      </c>
      <c r="L44" s="1" t="str">
        <f t="shared" si="0"/>
        <v>Branch</v>
      </c>
      <c r="M44" s="1"/>
      <c r="N44" s="1"/>
      <c r="O44" s="1"/>
      <c r="P44" s="1"/>
      <c r="Q44" s="1"/>
      <c r="R44" s="1"/>
      <c r="S44" s="1"/>
    </row>
    <row r="45" spans="1:19" ht="23" customHeight="1">
      <c r="A45" s="1" t="s">
        <v>102</v>
      </c>
      <c r="B45" s="4">
        <v>46039</v>
      </c>
      <c r="C45" s="1" t="s">
        <v>19</v>
      </c>
      <c r="D45" s="1" t="s">
        <v>54</v>
      </c>
      <c r="E45" s="5">
        <v>33000</v>
      </c>
      <c r="F45" s="1">
        <v>0</v>
      </c>
      <c r="G45" s="4">
        <v>46040</v>
      </c>
      <c r="H45" s="4">
        <v>46044</v>
      </c>
      <c r="I45" s="4">
        <v>46047</v>
      </c>
      <c r="J45" s="4"/>
      <c r="K45" s="1" t="s">
        <v>63</v>
      </c>
      <c r="L45" s="1" t="str">
        <f t="shared" si="0"/>
        <v>Online</v>
      </c>
      <c r="M45" s="1"/>
      <c r="N45" s="1"/>
      <c r="O45" s="1"/>
      <c r="P45" s="1"/>
      <c r="Q45" s="1"/>
      <c r="R45" s="1"/>
      <c r="S45" s="1"/>
    </row>
    <row r="46" spans="1:19" ht="23" customHeight="1">
      <c r="A46" s="1" t="s">
        <v>103</v>
      </c>
      <c r="B46" s="4">
        <v>46061</v>
      </c>
      <c r="C46" s="1" t="s">
        <v>18</v>
      </c>
      <c r="D46" s="1" t="s">
        <v>59</v>
      </c>
      <c r="E46" s="5">
        <v>45000</v>
      </c>
      <c r="F46" s="1">
        <v>1</v>
      </c>
      <c r="G46" s="4">
        <v>46068</v>
      </c>
      <c r="H46" s="4">
        <v>46070</v>
      </c>
      <c r="I46" s="4">
        <v>46073</v>
      </c>
      <c r="J46" s="4"/>
      <c r="K46" s="1" t="s">
        <v>55</v>
      </c>
      <c r="L46" s="1" t="str">
        <f t="shared" si="0"/>
        <v>Branch</v>
      </c>
      <c r="M46" s="1"/>
      <c r="N46" s="1"/>
      <c r="O46" s="1"/>
      <c r="P46" s="1"/>
      <c r="Q46" s="1"/>
      <c r="R46" s="1"/>
      <c r="S46" s="1"/>
    </row>
    <row r="47" spans="1:19" ht="23" customHeight="1">
      <c r="A47" s="1" t="s">
        <v>104</v>
      </c>
      <c r="B47" s="4">
        <v>46055</v>
      </c>
      <c r="C47" s="1" t="s">
        <v>19</v>
      </c>
      <c r="D47" s="1" t="s">
        <v>54</v>
      </c>
      <c r="E47" s="5">
        <v>31000</v>
      </c>
      <c r="F47" s="1">
        <v>0</v>
      </c>
      <c r="G47" s="4">
        <v>46057</v>
      </c>
      <c r="H47" s="4">
        <v>46063</v>
      </c>
      <c r="I47" s="4">
        <v>46064</v>
      </c>
      <c r="J47" s="4"/>
      <c r="K47" s="1" t="s">
        <v>55</v>
      </c>
      <c r="L47" s="1" t="str">
        <f t="shared" si="0"/>
        <v>Online</v>
      </c>
      <c r="M47" s="1"/>
      <c r="N47" s="1"/>
      <c r="O47" s="1"/>
      <c r="P47" s="1"/>
      <c r="Q47" s="1"/>
      <c r="R47" s="1"/>
      <c r="S47" s="1"/>
    </row>
    <row r="48" spans="1:19" ht="23" customHeight="1">
      <c r="A48" s="1" t="s">
        <v>105</v>
      </c>
      <c r="B48" s="4">
        <v>46108</v>
      </c>
      <c r="C48" s="1" t="s">
        <v>18</v>
      </c>
      <c r="D48" s="1" t="s">
        <v>62</v>
      </c>
      <c r="E48" s="5">
        <v>29000</v>
      </c>
      <c r="F48" s="1">
        <v>0</v>
      </c>
      <c r="G48" s="4">
        <v>46108</v>
      </c>
      <c r="H48" s="4">
        <v>46111</v>
      </c>
      <c r="I48" s="4">
        <v>46112</v>
      </c>
      <c r="J48" s="4"/>
      <c r="K48" s="1" t="s">
        <v>55</v>
      </c>
      <c r="L48" s="1" t="str">
        <f t="shared" si="0"/>
        <v>Branch</v>
      </c>
      <c r="M48" s="1"/>
      <c r="N48" s="1"/>
      <c r="O48" s="1"/>
      <c r="P48" s="1"/>
      <c r="Q48" s="1"/>
      <c r="R48" s="1"/>
      <c r="S48" s="1"/>
    </row>
    <row r="49" spans="1:19" ht="23" customHeight="1">
      <c r="A49" s="1" t="s">
        <v>106</v>
      </c>
      <c r="B49" s="4">
        <v>46056</v>
      </c>
      <c r="C49" s="1" t="s">
        <v>18</v>
      </c>
      <c r="D49" s="1" t="s">
        <v>59</v>
      </c>
      <c r="E49" s="5">
        <v>19000</v>
      </c>
      <c r="F49" s="1">
        <v>0</v>
      </c>
      <c r="G49" s="4">
        <v>46057</v>
      </c>
      <c r="H49" s="4">
        <v>46062</v>
      </c>
      <c r="I49" s="4">
        <v>46064</v>
      </c>
      <c r="J49" s="4"/>
      <c r="K49" s="1" t="s">
        <v>55</v>
      </c>
      <c r="L49" s="1" t="str">
        <f t="shared" si="0"/>
        <v>Branch</v>
      </c>
      <c r="M49" s="1"/>
      <c r="N49" s="1"/>
      <c r="O49" s="1"/>
      <c r="P49" s="1"/>
      <c r="Q49" s="1"/>
      <c r="R49" s="1"/>
      <c r="S49" s="1"/>
    </row>
    <row r="50" spans="1:19" ht="23" customHeight="1">
      <c r="A50" s="1" t="s">
        <v>107</v>
      </c>
      <c r="B50" s="4">
        <v>46070</v>
      </c>
      <c r="C50" s="1" t="s">
        <v>19</v>
      </c>
      <c r="D50" s="1" t="s">
        <v>54</v>
      </c>
      <c r="E50" s="5">
        <v>26000</v>
      </c>
      <c r="F50" s="1">
        <v>0</v>
      </c>
      <c r="G50" s="4">
        <v>46072</v>
      </c>
      <c r="H50" s="4">
        <v>46076</v>
      </c>
      <c r="I50" s="4">
        <v>46077</v>
      </c>
      <c r="J50" s="4"/>
      <c r="K50" s="1" t="s">
        <v>63</v>
      </c>
      <c r="L50" s="1" t="str">
        <f t="shared" si="0"/>
        <v>Online</v>
      </c>
      <c r="M50" s="1"/>
      <c r="N50" s="1"/>
      <c r="O50" s="1"/>
      <c r="P50" s="1"/>
      <c r="Q50" s="1"/>
      <c r="R50" s="1"/>
      <c r="S50" s="1"/>
    </row>
    <row r="51" spans="1:19" ht="23" customHeight="1">
      <c r="A51" s="1" t="s">
        <v>108</v>
      </c>
      <c r="B51" s="4">
        <v>46053</v>
      </c>
      <c r="C51" s="1" t="s">
        <v>18</v>
      </c>
      <c r="D51" s="1" t="s">
        <v>65</v>
      </c>
      <c r="E51" s="5">
        <v>34000</v>
      </c>
      <c r="F51" s="1">
        <v>0</v>
      </c>
      <c r="G51" s="4">
        <v>46054</v>
      </c>
      <c r="H51" s="4">
        <v>46055</v>
      </c>
      <c r="I51" s="4">
        <v>46058</v>
      </c>
      <c r="J51" s="4"/>
      <c r="K51" s="1" t="s">
        <v>55</v>
      </c>
      <c r="L51" s="1" t="str">
        <f t="shared" si="0"/>
        <v>Branch</v>
      </c>
      <c r="M51" s="1"/>
      <c r="N51" s="1"/>
      <c r="O51" s="1"/>
      <c r="P51" s="1"/>
      <c r="Q51" s="1"/>
      <c r="R51" s="1"/>
      <c r="S51" s="1"/>
    </row>
    <row r="52" spans="1:19" ht="23" customHeight="1">
      <c r="A52" s="1" t="s">
        <v>109</v>
      </c>
      <c r="B52" s="4">
        <v>46111</v>
      </c>
      <c r="C52" s="1" t="s">
        <v>19</v>
      </c>
      <c r="D52" s="1" t="s">
        <v>54</v>
      </c>
      <c r="E52" s="5">
        <v>17000</v>
      </c>
      <c r="F52" s="1">
        <v>0</v>
      </c>
      <c r="G52" s="4">
        <v>46112</v>
      </c>
      <c r="H52" s="4"/>
      <c r="I52" s="4"/>
      <c r="J52" s="4"/>
      <c r="K52" s="1" t="s">
        <v>69</v>
      </c>
      <c r="L52" s="1" t="str">
        <f t="shared" si="0"/>
        <v>Online</v>
      </c>
      <c r="M52" s="1"/>
      <c r="N52" s="1"/>
      <c r="O52" s="1"/>
      <c r="P52" s="1"/>
      <c r="Q52" s="1"/>
      <c r="R52" s="1"/>
      <c r="S52" s="1"/>
    </row>
    <row r="53" spans="1:19" ht="23" customHeight="1">
      <c r="A53" s="1" t="s">
        <v>110</v>
      </c>
      <c r="B53" s="4">
        <v>46068</v>
      </c>
      <c r="C53" s="1" t="s">
        <v>19</v>
      </c>
      <c r="D53" s="1" t="s">
        <v>54</v>
      </c>
      <c r="E53" s="5">
        <v>5000</v>
      </c>
      <c r="F53" s="1">
        <v>0</v>
      </c>
      <c r="G53" s="4">
        <v>46070</v>
      </c>
      <c r="H53" s="4">
        <v>46071</v>
      </c>
      <c r="I53" s="4">
        <v>46073</v>
      </c>
      <c r="J53" s="4"/>
      <c r="K53" s="1" t="s">
        <v>63</v>
      </c>
      <c r="L53" s="1" t="str">
        <f t="shared" si="0"/>
        <v>Online</v>
      </c>
      <c r="M53" s="1"/>
      <c r="N53" s="1"/>
      <c r="O53" s="1"/>
      <c r="P53" s="1"/>
      <c r="Q53" s="1"/>
      <c r="R53" s="1"/>
      <c r="S53" s="1"/>
    </row>
    <row r="54" spans="1:19" ht="23" customHeight="1">
      <c r="A54" s="1" t="s">
        <v>111</v>
      </c>
      <c r="B54" s="4">
        <v>46025</v>
      </c>
      <c r="C54" s="1" t="s">
        <v>19</v>
      </c>
      <c r="D54" s="1" t="s">
        <v>54</v>
      </c>
      <c r="E54" s="5">
        <v>40000</v>
      </c>
      <c r="F54" s="1">
        <v>0</v>
      </c>
      <c r="G54" s="4">
        <v>46025</v>
      </c>
      <c r="H54" s="4">
        <v>46027</v>
      </c>
      <c r="I54" s="4">
        <v>46028</v>
      </c>
      <c r="J54" s="4"/>
      <c r="K54" s="1" t="s">
        <v>55</v>
      </c>
      <c r="L54" s="1" t="str">
        <f t="shared" si="0"/>
        <v>Online</v>
      </c>
      <c r="M54" s="1"/>
      <c r="N54" s="1"/>
      <c r="O54" s="1"/>
      <c r="P54" s="1"/>
      <c r="Q54" s="1"/>
      <c r="R54" s="1"/>
      <c r="S54" s="1"/>
    </row>
    <row r="55" spans="1:19" ht="23" customHeight="1">
      <c r="A55" s="1" t="s">
        <v>112</v>
      </c>
      <c r="B55" s="4">
        <v>46044</v>
      </c>
      <c r="C55" s="1" t="s">
        <v>19</v>
      </c>
      <c r="D55" s="1" t="s">
        <v>54</v>
      </c>
      <c r="E55" s="5">
        <v>18000</v>
      </c>
      <c r="F55" s="1">
        <v>0</v>
      </c>
      <c r="G55" s="4">
        <v>46045</v>
      </c>
      <c r="H55" s="4">
        <v>46051</v>
      </c>
      <c r="I55" s="4">
        <v>46052</v>
      </c>
      <c r="J55" s="4"/>
      <c r="K55" s="1" t="s">
        <v>55</v>
      </c>
      <c r="L55" s="1" t="str">
        <f t="shared" si="0"/>
        <v>Online</v>
      </c>
      <c r="M55" s="1"/>
      <c r="N55" s="1"/>
      <c r="O55" s="1"/>
      <c r="P55" s="1"/>
      <c r="Q55" s="1"/>
      <c r="R55" s="1"/>
      <c r="S55" s="1"/>
    </row>
    <row r="56" spans="1:19" ht="23" customHeight="1">
      <c r="A56" s="1" t="s">
        <v>113</v>
      </c>
      <c r="B56" s="4">
        <v>46054</v>
      </c>
      <c r="C56" s="1" t="s">
        <v>19</v>
      </c>
      <c r="D56" s="1" t="s">
        <v>54</v>
      </c>
      <c r="E56" s="5">
        <v>22000</v>
      </c>
      <c r="F56" s="1">
        <v>0</v>
      </c>
      <c r="G56" s="4">
        <v>46055</v>
      </c>
      <c r="H56" s="4">
        <v>46058</v>
      </c>
      <c r="I56" s="4">
        <v>46059</v>
      </c>
      <c r="J56" s="4"/>
      <c r="K56" s="1" t="s">
        <v>63</v>
      </c>
      <c r="L56" s="1" t="str">
        <f t="shared" si="0"/>
        <v>Online</v>
      </c>
      <c r="M56" s="1"/>
      <c r="N56" s="1"/>
      <c r="O56" s="1"/>
      <c r="P56" s="1"/>
      <c r="Q56" s="1"/>
      <c r="R56" s="1"/>
      <c r="S56" s="1"/>
    </row>
    <row r="57" spans="1:19" ht="23" customHeight="1">
      <c r="A57" s="1" t="s">
        <v>114</v>
      </c>
      <c r="B57" s="4">
        <v>46102</v>
      </c>
      <c r="C57" s="1" t="s">
        <v>19</v>
      </c>
      <c r="D57" s="1" t="s">
        <v>54</v>
      </c>
      <c r="E57" s="5">
        <v>27000</v>
      </c>
      <c r="F57" s="1">
        <v>0</v>
      </c>
      <c r="G57" s="4">
        <v>46103</v>
      </c>
      <c r="H57" s="4">
        <v>46106</v>
      </c>
      <c r="I57" s="4">
        <v>46108</v>
      </c>
      <c r="J57" s="4"/>
      <c r="K57" s="1" t="s">
        <v>63</v>
      </c>
      <c r="L57" s="1" t="str">
        <f t="shared" si="0"/>
        <v>Online</v>
      </c>
      <c r="M57" s="1"/>
      <c r="N57" s="1"/>
      <c r="O57" s="1"/>
      <c r="P57" s="1"/>
      <c r="Q57" s="1"/>
      <c r="R57" s="1"/>
      <c r="S57" s="1"/>
    </row>
    <row r="58" spans="1:19" ht="23" customHeight="1">
      <c r="A58" s="1" t="s">
        <v>115</v>
      </c>
      <c r="B58" s="4">
        <v>46107</v>
      </c>
      <c r="C58" s="1" t="s">
        <v>19</v>
      </c>
      <c r="D58" s="1" t="s">
        <v>54</v>
      </c>
      <c r="E58" s="5">
        <v>43000</v>
      </c>
      <c r="F58" s="1">
        <v>1</v>
      </c>
      <c r="G58" s="4">
        <v>46110</v>
      </c>
      <c r="H58" s="4">
        <v>46111</v>
      </c>
      <c r="I58" s="4"/>
      <c r="J58" s="4"/>
      <c r="K58" s="1" t="s">
        <v>69</v>
      </c>
      <c r="L58" s="1" t="str">
        <f t="shared" si="0"/>
        <v>Online</v>
      </c>
      <c r="M58" s="1"/>
      <c r="N58" s="1"/>
      <c r="O58" s="1"/>
      <c r="P58" s="1"/>
      <c r="Q58" s="1"/>
      <c r="R58" s="1"/>
      <c r="S58" s="1"/>
    </row>
    <row r="59" spans="1:19" ht="23" customHeight="1">
      <c r="A59" s="1" t="s">
        <v>116</v>
      </c>
      <c r="B59" s="4">
        <v>46061</v>
      </c>
      <c r="C59" s="1" t="s">
        <v>19</v>
      </c>
      <c r="D59" s="1" t="s">
        <v>54</v>
      </c>
      <c r="E59" s="5">
        <v>19000</v>
      </c>
      <c r="F59" s="1">
        <v>1</v>
      </c>
      <c r="G59" s="4">
        <v>46066</v>
      </c>
      <c r="H59" s="4">
        <v>46068</v>
      </c>
      <c r="I59" s="4">
        <v>46071</v>
      </c>
      <c r="J59" s="4"/>
      <c r="K59" s="1" t="s">
        <v>55</v>
      </c>
      <c r="L59" s="1" t="str">
        <f t="shared" si="0"/>
        <v>Online</v>
      </c>
      <c r="M59" s="1"/>
      <c r="N59" s="1"/>
      <c r="O59" s="1"/>
      <c r="P59" s="1"/>
      <c r="Q59" s="1"/>
      <c r="R59" s="1"/>
      <c r="S59" s="1"/>
    </row>
    <row r="60" spans="1:19" ht="23" customHeight="1">
      <c r="A60" s="1" t="s">
        <v>117</v>
      </c>
      <c r="B60" s="4">
        <v>46078</v>
      </c>
      <c r="C60" s="1" t="s">
        <v>18</v>
      </c>
      <c r="D60" s="1" t="s">
        <v>59</v>
      </c>
      <c r="E60" s="5">
        <v>23000</v>
      </c>
      <c r="F60" s="1">
        <v>1</v>
      </c>
      <c r="G60" s="4">
        <v>46083</v>
      </c>
      <c r="H60" s="4">
        <v>46088</v>
      </c>
      <c r="I60" s="4">
        <v>46089</v>
      </c>
      <c r="J60" s="4"/>
      <c r="K60" s="1" t="s">
        <v>55</v>
      </c>
      <c r="L60" s="1" t="str">
        <f t="shared" si="0"/>
        <v>Branch</v>
      </c>
      <c r="M60" s="1"/>
      <c r="N60" s="1"/>
      <c r="O60" s="1"/>
      <c r="P60" s="1"/>
      <c r="Q60" s="1"/>
      <c r="R60" s="1"/>
      <c r="S60" s="1"/>
    </row>
    <row r="61" spans="1:19" ht="23" customHeight="1">
      <c r="A61" s="1" t="s">
        <v>118</v>
      </c>
      <c r="B61" s="4">
        <v>46047</v>
      </c>
      <c r="C61" s="1" t="s">
        <v>19</v>
      </c>
      <c r="D61" s="1" t="s">
        <v>54</v>
      </c>
      <c r="E61" s="5">
        <v>49000</v>
      </c>
      <c r="F61" s="1">
        <v>0</v>
      </c>
      <c r="G61" s="4">
        <v>46047</v>
      </c>
      <c r="H61" s="4">
        <v>46053</v>
      </c>
      <c r="I61" s="4">
        <v>46056</v>
      </c>
      <c r="J61" s="4"/>
      <c r="K61" s="1" t="s">
        <v>55</v>
      </c>
      <c r="L61" s="1" t="str">
        <f t="shared" si="0"/>
        <v>Online</v>
      </c>
      <c r="M61" s="1"/>
      <c r="N61" s="1"/>
      <c r="O61" s="1"/>
      <c r="P61" s="1"/>
      <c r="Q61" s="1"/>
      <c r="R61" s="1"/>
      <c r="S61" s="1"/>
    </row>
    <row r="62" spans="1:19" ht="23" customHeight="1">
      <c r="A62" s="1" t="s">
        <v>119</v>
      </c>
      <c r="B62" s="4">
        <v>46061</v>
      </c>
      <c r="C62" s="1" t="s">
        <v>19</v>
      </c>
      <c r="D62" s="1" t="s">
        <v>54</v>
      </c>
      <c r="E62" s="5">
        <v>39000</v>
      </c>
      <c r="F62" s="1">
        <v>1</v>
      </c>
      <c r="G62" s="4">
        <v>46065</v>
      </c>
      <c r="H62" s="4">
        <v>46068</v>
      </c>
      <c r="I62" s="4">
        <v>46069</v>
      </c>
      <c r="J62" s="4"/>
      <c r="K62" s="1" t="s">
        <v>55</v>
      </c>
      <c r="L62" s="1" t="str">
        <f t="shared" si="0"/>
        <v>Online</v>
      </c>
      <c r="M62" s="1"/>
      <c r="N62" s="1"/>
      <c r="O62" s="1"/>
      <c r="P62" s="1"/>
      <c r="Q62" s="1"/>
      <c r="R62" s="1"/>
      <c r="S62" s="1"/>
    </row>
    <row r="63" spans="1:19" ht="23" customHeight="1">
      <c r="A63" s="1" t="s">
        <v>120</v>
      </c>
      <c r="B63" s="4">
        <v>46033</v>
      </c>
      <c r="C63" s="1" t="s">
        <v>18</v>
      </c>
      <c r="D63" s="1" t="s">
        <v>65</v>
      </c>
      <c r="E63" s="5">
        <v>41000</v>
      </c>
      <c r="F63" s="1">
        <v>1</v>
      </c>
      <c r="G63" s="4">
        <v>46038</v>
      </c>
      <c r="H63" s="4">
        <v>46044</v>
      </c>
      <c r="I63" s="4">
        <v>46046</v>
      </c>
      <c r="J63" s="4"/>
      <c r="K63" s="1" t="s">
        <v>63</v>
      </c>
      <c r="L63" s="1" t="str">
        <f t="shared" si="0"/>
        <v>Branch</v>
      </c>
      <c r="M63" s="1"/>
      <c r="N63" s="1"/>
      <c r="O63" s="1"/>
      <c r="P63" s="1"/>
      <c r="Q63" s="1"/>
      <c r="R63" s="1"/>
      <c r="S63" s="1"/>
    </row>
    <row r="64" spans="1:19" ht="23" customHeight="1">
      <c r="A64" s="1" t="s">
        <v>121</v>
      </c>
      <c r="B64" s="4">
        <v>46097</v>
      </c>
      <c r="C64" s="1" t="s">
        <v>19</v>
      </c>
      <c r="D64" s="1" t="s">
        <v>54</v>
      </c>
      <c r="E64" s="5">
        <v>46000</v>
      </c>
      <c r="F64" s="1">
        <v>0</v>
      </c>
      <c r="G64" s="4">
        <v>46098</v>
      </c>
      <c r="H64" s="4">
        <v>46103</v>
      </c>
      <c r="I64" s="4">
        <v>46104</v>
      </c>
      <c r="J64" s="4"/>
      <c r="K64" s="1" t="s">
        <v>55</v>
      </c>
      <c r="L64" s="1" t="str">
        <f t="shared" si="0"/>
        <v>Online</v>
      </c>
      <c r="M64" s="1"/>
      <c r="N64" s="1"/>
      <c r="O64" s="1"/>
      <c r="P64" s="1"/>
      <c r="Q64" s="1"/>
      <c r="R64" s="1"/>
      <c r="S64" s="1"/>
    </row>
    <row r="65" spans="1:19" ht="23" customHeight="1">
      <c r="A65" s="1" t="s">
        <v>122</v>
      </c>
      <c r="B65" s="4">
        <v>46039</v>
      </c>
      <c r="C65" s="1" t="s">
        <v>18</v>
      </c>
      <c r="D65" s="1" t="s">
        <v>59</v>
      </c>
      <c r="E65" s="5">
        <v>23000</v>
      </c>
      <c r="F65" s="1">
        <v>0</v>
      </c>
      <c r="G65" s="4">
        <v>46039</v>
      </c>
      <c r="H65" s="4">
        <v>46044</v>
      </c>
      <c r="I65" s="4">
        <v>46045</v>
      </c>
      <c r="J65" s="4"/>
      <c r="K65" s="1" t="s">
        <v>55</v>
      </c>
      <c r="L65" s="1" t="str">
        <f t="shared" si="0"/>
        <v>Branch</v>
      </c>
      <c r="M65" s="1"/>
      <c r="N65" s="1"/>
      <c r="O65" s="1"/>
      <c r="P65" s="1"/>
      <c r="Q65" s="1"/>
      <c r="R65" s="1"/>
      <c r="S65" s="1"/>
    </row>
    <row r="66" spans="1:19" ht="23" customHeight="1">
      <c r="A66" s="1" t="s">
        <v>123</v>
      </c>
      <c r="B66" s="4">
        <v>46030</v>
      </c>
      <c r="C66" s="1" t="s">
        <v>18</v>
      </c>
      <c r="D66" s="1" t="s">
        <v>59</v>
      </c>
      <c r="E66" s="5">
        <v>35000</v>
      </c>
      <c r="F66" s="1">
        <v>0</v>
      </c>
      <c r="G66" s="4">
        <v>46031</v>
      </c>
      <c r="H66" s="4">
        <v>46037</v>
      </c>
      <c r="I66" s="4">
        <v>46040</v>
      </c>
      <c r="J66" s="4"/>
      <c r="K66" s="1" t="s">
        <v>63</v>
      </c>
      <c r="L66" s="1" t="str">
        <f t="shared" si="0"/>
        <v>Branch</v>
      </c>
      <c r="M66" s="1"/>
      <c r="N66" s="1"/>
      <c r="O66" s="1"/>
      <c r="P66" s="1"/>
      <c r="Q66" s="1"/>
      <c r="R66" s="1"/>
      <c r="S66" s="1"/>
    </row>
    <row r="67" spans="1:19" ht="23" customHeight="1">
      <c r="A67" s="1" t="s">
        <v>124</v>
      </c>
      <c r="B67" s="4">
        <v>46079</v>
      </c>
      <c r="C67" s="1" t="s">
        <v>18</v>
      </c>
      <c r="D67" s="1" t="s">
        <v>59</v>
      </c>
      <c r="E67" s="5">
        <v>11000</v>
      </c>
      <c r="F67" s="1">
        <v>0</v>
      </c>
      <c r="G67" s="4">
        <v>46081</v>
      </c>
      <c r="H67" s="4">
        <v>46087</v>
      </c>
      <c r="I67" s="4">
        <v>46089</v>
      </c>
      <c r="J67" s="4"/>
      <c r="K67" s="1" t="s">
        <v>55</v>
      </c>
      <c r="L67" s="1" t="str">
        <f t="shared" si="0"/>
        <v>Branch</v>
      </c>
      <c r="M67" s="1"/>
      <c r="N67" s="1"/>
      <c r="O67" s="1"/>
      <c r="P67" s="1"/>
      <c r="Q67" s="1"/>
      <c r="R67" s="1"/>
      <c r="S67" s="1"/>
    </row>
    <row r="68" spans="1:19" ht="23" customHeight="1">
      <c r="A68" s="1" t="s">
        <v>125</v>
      </c>
      <c r="B68" s="4">
        <v>46027</v>
      </c>
      <c r="C68" s="1" t="s">
        <v>18</v>
      </c>
      <c r="D68" s="1" t="s">
        <v>59</v>
      </c>
      <c r="E68" s="5">
        <v>24000</v>
      </c>
      <c r="F68" s="1">
        <v>0</v>
      </c>
      <c r="G68" s="4">
        <v>46029</v>
      </c>
      <c r="H68" s="4">
        <v>46030</v>
      </c>
      <c r="I68" s="4">
        <v>46032</v>
      </c>
      <c r="J68" s="4"/>
      <c r="K68" s="1" t="s">
        <v>63</v>
      </c>
      <c r="L68" s="1" t="str">
        <f t="shared" si="0"/>
        <v>Branch</v>
      </c>
      <c r="M68" s="1"/>
      <c r="N68" s="1"/>
      <c r="O68" s="1"/>
      <c r="P68" s="1"/>
      <c r="Q68" s="1"/>
      <c r="R68" s="1"/>
      <c r="S68" s="1"/>
    </row>
    <row r="69" spans="1:19" ht="23" customHeight="1">
      <c r="A69" s="1" t="s">
        <v>126</v>
      </c>
      <c r="B69" s="4">
        <v>46106</v>
      </c>
      <c r="C69" s="1" t="s">
        <v>19</v>
      </c>
      <c r="D69" s="1" t="s">
        <v>54</v>
      </c>
      <c r="E69" s="5">
        <v>30000</v>
      </c>
      <c r="F69" s="1">
        <v>0</v>
      </c>
      <c r="G69" s="4">
        <v>46108</v>
      </c>
      <c r="H69" s="4">
        <v>46111</v>
      </c>
      <c r="I69" s="4"/>
      <c r="J69" s="4"/>
      <c r="K69" s="1" t="s">
        <v>69</v>
      </c>
      <c r="L69" s="1" t="str">
        <f t="shared" ref="L69:L132" si="1">PROPER(TRIM(C69))</f>
        <v>Online</v>
      </c>
      <c r="M69" s="1"/>
      <c r="N69" s="1"/>
      <c r="O69" s="1"/>
      <c r="P69" s="1"/>
      <c r="Q69" s="1"/>
      <c r="R69" s="1"/>
      <c r="S69" s="1"/>
    </row>
    <row r="70" spans="1:19" ht="23" customHeight="1">
      <c r="A70" s="1" t="s">
        <v>127</v>
      </c>
      <c r="B70" s="4">
        <v>46110</v>
      </c>
      <c r="C70" s="1" t="s">
        <v>19</v>
      </c>
      <c r="D70" s="1" t="s">
        <v>54</v>
      </c>
      <c r="E70" s="5">
        <v>29000</v>
      </c>
      <c r="F70" s="1">
        <v>0</v>
      </c>
      <c r="G70" s="4">
        <v>46112</v>
      </c>
      <c r="H70" s="4"/>
      <c r="I70" s="4"/>
      <c r="J70" s="4"/>
      <c r="K70" s="1" t="s">
        <v>69</v>
      </c>
      <c r="L70" s="1" t="str">
        <f t="shared" si="1"/>
        <v>Online</v>
      </c>
      <c r="M70" s="1"/>
      <c r="N70" s="1"/>
      <c r="O70" s="1"/>
      <c r="P70" s="1"/>
      <c r="Q70" s="1"/>
      <c r="R70" s="1"/>
      <c r="S70" s="1"/>
    </row>
    <row r="71" spans="1:19" ht="23" customHeight="1">
      <c r="A71" s="1" t="s">
        <v>128</v>
      </c>
      <c r="B71" s="4">
        <v>46108</v>
      </c>
      <c r="C71" s="1" t="s">
        <v>18</v>
      </c>
      <c r="D71" s="1" t="s">
        <v>65</v>
      </c>
      <c r="E71" s="5">
        <v>35000</v>
      </c>
      <c r="F71" s="1">
        <v>1</v>
      </c>
      <c r="G71" s="4"/>
      <c r="H71" s="4"/>
      <c r="I71" s="4"/>
      <c r="J71" s="4"/>
      <c r="K71" s="1" t="s">
        <v>69</v>
      </c>
      <c r="L71" s="1" t="str">
        <f t="shared" si="1"/>
        <v>Branch</v>
      </c>
      <c r="M71" s="1"/>
      <c r="N71" s="1"/>
      <c r="O71" s="1"/>
      <c r="P71" s="1"/>
      <c r="Q71" s="1"/>
      <c r="R71" s="1"/>
      <c r="S71" s="1"/>
    </row>
    <row r="72" spans="1:19" ht="23" customHeight="1">
      <c r="A72" s="1" t="s">
        <v>129</v>
      </c>
      <c r="B72" s="4">
        <v>46032</v>
      </c>
      <c r="C72" s="1" t="s">
        <v>19</v>
      </c>
      <c r="D72" s="1" t="s">
        <v>54</v>
      </c>
      <c r="E72" s="5">
        <v>47000</v>
      </c>
      <c r="F72" s="1">
        <v>0</v>
      </c>
      <c r="G72" s="4">
        <v>46033</v>
      </c>
      <c r="H72" s="4">
        <v>46035</v>
      </c>
      <c r="I72" s="4">
        <v>46038</v>
      </c>
      <c r="J72" s="4"/>
      <c r="K72" s="1" t="s">
        <v>63</v>
      </c>
      <c r="L72" s="1" t="str">
        <f t="shared" si="1"/>
        <v>Online</v>
      </c>
      <c r="M72" s="1"/>
      <c r="N72" s="1"/>
      <c r="O72" s="1"/>
      <c r="P72" s="1"/>
      <c r="Q72" s="1"/>
      <c r="R72" s="1"/>
      <c r="S72" s="1"/>
    </row>
    <row r="73" spans="1:19" ht="23" customHeight="1">
      <c r="A73" s="1" t="s">
        <v>130</v>
      </c>
      <c r="B73" s="4">
        <v>46093</v>
      </c>
      <c r="C73" s="1" t="s">
        <v>19</v>
      </c>
      <c r="D73" s="1" t="s">
        <v>54</v>
      </c>
      <c r="E73" s="5">
        <v>20000</v>
      </c>
      <c r="F73" s="1">
        <v>0</v>
      </c>
      <c r="G73" s="4">
        <v>46093</v>
      </c>
      <c r="H73" s="4">
        <v>46099</v>
      </c>
      <c r="I73" s="4">
        <v>46102</v>
      </c>
      <c r="J73" s="4"/>
      <c r="K73" s="1" t="s">
        <v>55</v>
      </c>
      <c r="L73" s="1" t="str">
        <f t="shared" si="1"/>
        <v>Online</v>
      </c>
      <c r="M73" s="1"/>
      <c r="N73" s="1"/>
      <c r="O73" s="1"/>
      <c r="P73" s="1"/>
      <c r="Q73" s="1"/>
      <c r="R73" s="1"/>
      <c r="S73" s="1"/>
    </row>
    <row r="74" spans="1:19" ht="23" customHeight="1">
      <c r="A74" s="1" t="s">
        <v>131</v>
      </c>
      <c r="B74" s="4">
        <v>46094</v>
      </c>
      <c r="C74" s="1" t="s">
        <v>18</v>
      </c>
      <c r="D74" s="1" t="s">
        <v>62</v>
      </c>
      <c r="E74" s="5">
        <v>24000</v>
      </c>
      <c r="F74" s="1">
        <v>1</v>
      </c>
      <c r="G74" s="4">
        <v>46100</v>
      </c>
      <c r="H74" s="4">
        <v>46105</v>
      </c>
      <c r="I74" s="4">
        <v>46108</v>
      </c>
      <c r="J74" s="4"/>
      <c r="K74" s="1" t="s">
        <v>55</v>
      </c>
      <c r="L74" s="1" t="str">
        <f t="shared" si="1"/>
        <v>Branch</v>
      </c>
      <c r="M74" s="1"/>
      <c r="N74" s="1"/>
      <c r="O74" s="1"/>
      <c r="P74" s="1"/>
      <c r="Q74" s="1"/>
      <c r="R74" s="1"/>
      <c r="S74" s="1"/>
    </row>
    <row r="75" spans="1:19" ht="23" customHeight="1">
      <c r="A75" s="1" t="s">
        <v>132</v>
      </c>
      <c r="B75" s="4">
        <v>46090</v>
      </c>
      <c r="C75" s="1" t="s">
        <v>19</v>
      </c>
      <c r="D75" s="1" t="s">
        <v>54</v>
      </c>
      <c r="E75" s="5">
        <v>14000</v>
      </c>
      <c r="F75" s="1">
        <v>1</v>
      </c>
      <c r="G75" s="4">
        <v>46093</v>
      </c>
      <c r="H75" s="4">
        <v>46098</v>
      </c>
      <c r="I75" s="4">
        <v>46101</v>
      </c>
      <c r="J75" s="4"/>
      <c r="K75" s="1" t="s">
        <v>63</v>
      </c>
      <c r="L75" s="1" t="str">
        <f t="shared" si="1"/>
        <v>Online</v>
      </c>
      <c r="M75" s="1"/>
      <c r="N75" s="1"/>
      <c r="O75" s="1"/>
      <c r="P75" s="1"/>
      <c r="Q75" s="1"/>
      <c r="R75" s="1"/>
      <c r="S75" s="1"/>
    </row>
    <row r="76" spans="1:19" ht="23" customHeight="1">
      <c r="A76" s="1" t="s">
        <v>133</v>
      </c>
      <c r="B76" s="4">
        <v>46028</v>
      </c>
      <c r="C76" s="1" t="s">
        <v>18</v>
      </c>
      <c r="D76" s="1" t="s">
        <v>59</v>
      </c>
      <c r="E76" s="5">
        <v>7000</v>
      </c>
      <c r="F76" s="1">
        <v>1</v>
      </c>
      <c r="G76" s="4">
        <v>46034</v>
      </c>
      <c r="H76" s="4">
        <v>46036</v>
      </c>
      <c r="I76" s="4">
        <v>46037</v>
      </c>
      <c r="J76" s="4"/>
      <c r="K76" s="1" t="s">
        <v>55</v>
      </c>
      <c r="L76" s="1" t="str">
        <f t="shared" si="1"/>
        <v>Branch</v>
      </c>
      <c r="M76" s="1"/>
      <c r="N76" s="1"/>
      <c r="O76" s="1"/>
      <c r="P76" s="1"/>
      <c r="Q76" s="1"/>
      <c r="R76" s="1"/>
      <c r="S76" s="1"/>
    </row>
    <row r="77" spans="1:19" ht="23" customHeight="1">
      <c r="A77" s="1" t="s">
        <v>134</v>
      </c>
      <c r="B77" s="4">
        <v>46062</v>
      </c>
      <c r="C77" s="1" t="s">
        <v>18</v>
      </c>
      <c r="D77" s="1" t="s">
        <v>71</v>
      </c>
      <c r="E77" s="5">
        <v>40000</v>
      </c>
      <c r="F77" s="1">
        <v>1</v>
      </c>
      <c r="G77" s="4">
        <v>46065</v>
      </c>
      <c r="H77" s="4">
        <v>46069</v>
      </c>
      <c r="I77" s="4">
        <v>46071</v>
      </c>
      <c r="J77" s="4"/>
      <c r="K77" s="1" t="s">
        <v>55</v>
      </c>
      <c r="L77" s="1" t="str">
        <f t="shared" si="1"/>
        <v>Branch</v>
      </c>
      <c r="M77" s="1"/>
      <c r="N77" s="1"/>
      <c r="O77" s="1"/>
      <c r="P77" s="1"/>
      <c r="Q77" s="1"/>
      <c r="R77" s="1"/>
      <c r="S77" s="1"/>
    </row>
    <row r="78" spans="1:19" ht="23" customHeight="1">
      <c r="A78" s="1" t="s">
        <v>135</v>
      </c>
      <c r="B78" s="4">
        <v>46028</v>
      </c>
      <c r="C78" s="1" t="s">
        <v>19</v>
      </c>
      <c r="D78" s="1" t="s">
        <v>54</v>
      </c>
      <c r="E78" s="5">
        <v>7000</v>
      </c>
      <c r="F78" s="1">
        <v>0</v>
      </c>
      <c r="G78" s="4">
        <v>46030</v>
      </c>
      <c r="H78" s="4">
        <v>46035</v>
      </c>
      <c r="I78" s="4">
        <v>46037</v>
      </c>
      <c r="J78" s="4"/>
      <c r="K78" s="1" t="s">
        <v>55</v>
      </c>
      <c r="L78" s="1" t="str">
        <f t="shared" si="1"/>
        <v>Online</v>
      </c>
      <c r="M78" s="1"/>
      <c r="N78" s="1"/>
      <c r="O78" s="1"/>
      <c r="P78" s="1"/>
      <c r="Q78" s="1"/>
      <c r="R78" s="1"/>
      <c r="S78" s="1"/>
    </row>
    <row r="79" spans="1:19" ht="23" customHeight="1">
      <c r="A79" s="1" t="s">
        <v>136</v>
      </c>
      <c r="B79" s="4">
        <v>46081</v>
      </c>
      <c r="C79" s="1" t="s">
        <v>19</v>
      </c>
      <c r="D79" s="1" t="s">
        <v>54</v>
      </c>
      <c r="E79" s="5">
        <v>23000</v>
      </c>
      <c r="F79" s="1">
        <v>1</v>
      </c>
      <c r="G79" s="4">
        <v>46086</v>
      </c>
      <c r="H79" s="4">
        <v>46088</v>
      </c>
      <c r="I79" s="4">
        <v>46091</v>
      </c>
      <c r="J79" s="4"/>
      <c r="K79" s="1" t="s">
        <v>63</v>
      </c>
      <c r="L79" s="1" t="str">
        <f t="shared" si="1"/>
        <v>Online</v>
      </c>
      <c r="M79" s="1"/>
      <c r="N79" s="1"/>
      <c r="O79" s="1"/>
      <c r="P79" s="1"/>
      <c r="Q79" s="1"/>
      <c r="R79" s="1"/>
      <c r="S79" s="1"/>
    </row>
    <row r="80" spans="1:19" ht="23" customHeight="1">
      <c r="A80" s="1" t="s">
        <v>137</v>
      </c>
      <c r="B80" s="4">
        <v>46043</v>
      </c>
      <c r="C80" s="1" t="s">
        <v>19</v>
      </c>
      <c r="D80" s="1" t="s">
        <v>54</v>
      </c>
      <c r="E80" s="5">
        <v>33000</v>
      </c>
      <c r="F80" s="1">
        <v>1</v>
      </c>
      <c r="G80" s="4">
        <v>46046</v>
      </c>
      <c r="H80" s="4">
        <v>46051</v>
      </c>
      <c r="I80" s="4">
        <v>46053</v>
      </c>
      <c r="J80" s="4"/>
      <c r="K80" s="1" t="s">
        <v>55</v>
      </c>
      <c r="L80" s="1" t="str">
        <f t="shared" si="1"/>
        <v>Online</v>
      </c>
      <c r="M80" s="1"/>
      <c r="N80" s="1"/>
      <c r="O80" s="1"/>
      <c r="P80" s="1"/>
      <c r="Q80" s="1"/>
      <c r="R80" s="1"/>
      <c r="S80" s="1"/>
    </row>
    <row r="81" spans="1:19" ht="23" customHeight="1">
      <c r="A81" s="1" t="s">
        <v>138</v>
      </c>
      <c r="B81" s="4">
        <v>46027</v>
      </c>
      <c r="C81" s="1" t="s">
        <v>18</v>
      </c>
      <c r="D81" s="1" t="s">
        <v>59</v>
      </c>
      <c r="E81" s="5">
        <v>8000</v>
      </c>
      <c r="F81" s="1">
        <v>1</v>
      </c>
      <c r="G81" s="4">
        <v>46030</v>
      </c>
      <c r="H81" s="4">
        <v>46036</v>
      </c>
      <c r="I81" s="4">
        <v>46038</v>
      </c>
      <c r="J81" s="4"/>
      <c r="K81" s="1" t="s">
        <v>63</v>
      </c>
      <c r="L81" s="1" t="str">
        <f t="shared" si="1"/>
        <v>Branch</v>
      </c>
      <c r="M81" s="1"/>
      <c r="N81" s="1"/>
      <c r="O81" s="1"/>
      <c r="P81" s="1"/>
      <c r="Q81" s="1"/>
      <c r="R81" s="1"/>
      <c r="S81" s="1"/>
    </row>
    <row r="82" spans="1:19" ht="23" customHeight="1">
      <c r="A82" s="1" t="s">
        <v>139</v>
      </c>
      <c r="B82" s="4">
        <v>46031</v>
      </c>
      <c r="C82" s="1" t="s">
        <v>18</v>
      </c>
      <c r="D82" s="1" t="s">
        <v>62</v>
      </c>
      <c r="E82" s="5">
        <v>6000</v>
      </c>
      <c r="F82" s="1">
        <v>1</v>
      </c>
      <c r="G82" s="4">
        <v>46038</v>
      </c>
      <c r="H82" s="4">
        <v>46043</v>
      </c>
      <c r="I82" s="4">
        <v>46044</v>
      </c>
      <c r="J82" s="4"/>
      <c r="K82" s="1" t="s">
        <v>55</v>
      </c>
      <c r="L82" s="1" t="str">
        <f t="shared" si="1"/>
        <v>Branch</v>
      </c>
      <c r="M82" s="1"/>
      <c r="N82" s="1"/>
      <c r="O82" s="1"/>
      <c r="P82" s="1"/>
      <c r="Q82" s="1"/>
      <c r="R82" s="1"/>
      <c r="S82" s="1"/>
    </row>
    <row r="83" spans="1:19" ht="23" customHeight="1">
      <c r="A83" s="1" t="s">
        <v>140</v>
      </c>
      <c r="B83" s="4">
        <v>46082</v>
      </c>
      <c r="C83" s="1" t="s">
        <v>18</v>
      </c>
      <c r="D83" s="1" t="s">
        <v>62</v>
      </c>
      <c r="E83" s="5">
        <v>20000</v>
      </c>
      <c r="F83" s="1">
        <v>0</v>
      </c>
      <c r="G83" s="4">
        <v>46084</v>
      </c>
      <c r="H83" s="4">
        <v>46089</v>
      </c>
      <c r="I83" s="4">
        <v>46092</v>
      </c>
      <c r="J83" s="4"/>
      <c r="K83" s="1" t="s">
        <v>55</v>
      </c>
      <c r="L83" s="1" t="str">
        <f t="shared" si="1"/>
        <v>Branch</v>
      </c>
      <c r="M83" s="1"/>
      <c r="N83" s="1"/>
      <c r="O83" s="1"/>
      <c r="P83" s="1"/>
      <c r="Q83" s="1"/>
      <c r="R83" s="1"/>
      <c r="S83" s="1"/>
    </row>
    <row r="84" spans="1:19" ht="23" customHeight="1">
      <c r="A84" s="1" t="s">
        <v>141</v>
      </c>
      <c r="B84" s="4">
        <v>46087</v>
      </c>
      <c r="C84" s="1" t="s">
        <v>18</v>
      </c>
      <c r="D84" s="1" t="s">
        <v>65</v>
      </c>
      <c r="E84" s="5">
        <v>11000</v>
      </c>
      <c r="F84" s="1">
        <v>0</v>
      </c>
      <c r="G84" s="4">
        <v>46089</v>
      </c>
      <c r="H84" s="4">
        <v>46090</v>
      </c>
      <c r="I84" s="4">
        <v>46091</v>
      </c>
      <c r="J84" s="4"/>
      <c r="K84" s="1" t="s">
        <v>55</v>
      </c>
      <c r="L84" s="1" t="str">
        <f t="shared" si="1"/>
        <v>Branch</v>
      </c>
      <c r="M84" s="1"/>
      <c r="N84" s="1"/>
      <c r="O84" s="1"/>
      <c r="P84" s="1"/>
      <c r="Q84" s="1"/>
      <c r="R84" s="1"/>
      <c r="S84" s="1"/>
    </row>
    <row r="85" spans="1:19" ht="23" customHeight="1">
      <c r="A85" s="1" t="s">
        <v>142</v>
      </c>
      <c r="B85" s="4">
        <v>46112</v>
      </c>
      <c r="C85" s="1" t="s">
        <v>18</v>
      </c>
      <c r="D85" s="1" t="s">
        <v>62</v>
      </c>
      <c r="E85" s="5">
        <v>42000</v>
      </c>
      <c r="F85" s="1">
        <v>0</v>
      </c>
      <c r="G85" s="4"/>
      <c r="H85" s="4"/>
      <c r="I85" s="4"/>
      <c r="J85" s="4"/>
      <c r="K85" s="1" t="s">
        <v>69</v>
      </c>
      <c r="L85" s="1" t="str">
        <f t="shared" si="1"/>
        <v>Branch</v>
      </c>
      <c r="M85" s="1"/>
      <c r="N85" s="1"/>
      <c r="O85" s="1"/>
      <c r="P85" s="1"/>
      <c r="Q85" s="1"/>
      <c r="R85" s="1"/>
      <c r="S85" s="1"/>
    </row>
    <row r="86" spans="1:19" ht="23" customHeight="1">
      <c r="A86" s="1" t="s">
        <v>143</v>
      </c>
      <c r="B86" s="4">
        <v>46084</v>
      </c>
      <c r="C86" s="1" t="s">
        <v>19</v>
      </c>
      <c r="D86" s="1" t="s">
        <v>54</v>
      </c>
      <c r="E86" s="5">
        <v>41000</v>
      </c>
      <c r="F86" s="1">
        <v>1</v>
      </c>
      <c r="G86" s="4">
        <v>46094</v>
      </c>
      <c r="H86" s="4">
        <v>46097</v>
      </c>
      <c r="I86" s="4">
        <v>46098</v>
      </c>
      <c r="J86" s="4"/>
      <c r="K86" s="1" t="s">
        <v>55</v>
      </c>
      <c r="L86" s="1" t="str">
        <f t="shared" si="1"/>
        <v>Online</v>
      </c>
      <c r="M86" s="1"/>
      <c r="N86" s="1"/>
      <c r="O86" s="1"/>
      <c r="P86" s="1"/>
      <c r="Q86" s="1"/>
      <c r="R86" s="1"/>
      <c r="S86" s="1"/>
    </row>
    <row r="87" spans="1:19" ht="23" customHeight="1">
      <c r="A87" s="1" t="s">
        <v>144</v>
      </c>
      <c r="B87" s="4">
        <v>46043</v>
      </c>
      <c r="C87" s="1" t="s">
        <v>18</v>
      </c>
      <c r="D87" s="1" t="s">
        <v>62</v>
      </c>
      <c r="E87" s="5">
        <v>47000</v>
      </c>
      <c r="F87" s="1">
        <v>0</v>
      </c>
      <c r="G87" s="4">
        <v>46044</v>
      </c>
      <c r="H87" s="4">
        <v>46051</v>
      </c>
      <c r="I87" s="4">
        <v>46053</v>
      </c>
      <c r="J87" s="4"/>
      <c r="K87" s="1" t="s">
        <v>63</v>
      </c>
      <c r="L87" s="1" t="str">
        <f t="shared" si="1"/>
        <v>Branch</v>
      </c>
      <c r="M87" s="1"/>
      <c r="N87" s="1"/>
      <c r="O87" s="1"/>
      <c r="P87" s="1"/>
      <c r="Q87" s="1"/>
      <c r="R87" s="1"/>
      <c r="S87" s="1"/>
    </row>
    <row r="88" spans="1:19" ht="23" customHeight="1">
      <c r="A88" s="1" t="s">
        <v>145</v>
      </c>
      <c r="B88" s="4">
        <v>46073</v>
      </c>
      <c r="C88" s="1" t="s">
        <v>18</v>
      </c>
      <c r="D88" s="1" t="s">
        <v>71</v>
      </c>
      <c r="E88" s="5">
        <v>28000</v>
      </c>
      <c r="F88" s="1">
        <v>1</v>
      </c>
      <c r="G88" s="4">
        <v>46080</v>
      </c>
      <c r="H88" s="4">
        <v>46085</v>
      </c>
      <c r="I88" s="4">
        <v>46086</v>
      </c>
      <c r="J88" s="4"/>
      <c r="K88" s="1" t="s">
        <v>63</v>
      </c>
      <c r="L88" s="1" t="str">
        <f t="shared" si="1"/>
        <v>Branch</v>
      </c>
      <c r="M88" s="1"/>
      <c r="N88" s="1"/>
      <c r="O88" s="1"/>
      <c r="P88" s="1"/>
      <c r="Q88" s="1"/>
      <c r="R88" s="1"/>
      <c r="S88" s="1"/>
    </row>
    <row r="89" spans="1:19" ht="23" customHeight="1">
      <c r="A89" s="1" t="s">
        <v>146</v>
      </c>
      <c r="B89" s="4">
        <v>46033</v>
      </c>
      <c r="C89" s="1" t="s">
        <v>18</v>
      </c>
      <c r="D89" s="1" t="s">
        <v>71</v>
      </c>
      <c r="E89" s="5">
        <v>23000</v>
      </c>
      <c r="F89" s="1">
        <v>0</v>
      </c>
      <c r="G89" s="4">
        <v>46034</v>
      </c>
      <c r="H89" s="4">
        <v>46035</v>
      </c>
      <c r="I89" s="4">
        <v>46037</v>
      </c>
      <c r="J89" s="4"/>
      <c r="K89" s="1" t="s">
        <v>55</v>
      </c>
      <c r="L89" s="1" t="str">
        <f t="shared" si="1"/>
        <v>Branch</v>
      </c>
      <c r="M89" s="1"/>
      <c r="N89" s="1"/>
      <c r="O89" s="1"/>
      <c r="P89" s="1"/>
      <c r="Q89" s="1"/>
      <c r="R89" s="1"/>
      <c r="S89" s="1"/>
    </row>
    <row r="90" spans="1:19" ht="23" customHeight="1">
      <c r="A90" s="1" t="s">
        <v>147</v>
      </c>
      <c r="B90" s="4">
        <v>46107</v>
      </c>
      <c r="C90" s="1" t="s">
        <v>19</v>
      </c>
      <c r="D90" s="1" t="s">
        <v>54</v>
      </c>
      <c r="E90" s="5">
        <v>6000</v>
      </c>
      <c r="F90" s="1">
        <v>0</v>
      </c>
      <c r="G90" s="4">
        <v>46109</v>
      </c>
      <c r="H90" s="4">
        <v>46111</v>
      </c>
      <c r="I90" s="4">
        <v>46112</v>
      </c>
      <c r="J90" s="4"/>
      <c r="K90" s="1" t="s">
        <v>55</v>
      </c>
      <c r="L90" s="1" t="str">
        <f t="shared" si="1"/>
        <v>Online</v>
      </c>
      <c r="M90" s="1"/>
      <c r="N90" s="1"/>
      <c r="O90" s="1"/>
      <c r="P90" s="1"/>
      <c r="Q90" s="1"/>
      <c r="R90" s="1"/>
      <c r="S90" s="1"/>
    </row>
    <row r="91" spans="1:19" ht="23" customHeight="1">
      <c r="A91" s="1" t="s">
        <v>148</v>
      </c>
      <c r="B91" s="4">
        <v>46057</v>
      </c>
      <c r="C91" s="1" t="s">
        <v>19</v>
      </c>
      <c r="D91" s="1" t="s">
        <v>54</v>
      </c>
      <c r="E91" s="5">
        <v>5000</v>
      </c>
      <c r="F91" s="1">
        <v>0</v>
      </c>
      <c r="G91" s="4">
        <v>46057</v>
      </c>
      <c r="H91" s="4">
        <v>46063</v>
      </c>
      <c r="I91" s="4">
        <v>46066</v>
      </c>
      <c r="J91" s="4"/>
      <c r="K91" s="1" t="s">
        <v>63</v>
      </c>
      <c r="L91" s="1" t="str">
        <f t="shared" si="1"/>
        <v>Online</v>
      </c>
      <c r="M91" s="1"/>
      <c r="N91" s="1"/>
      <c r="O91" s="1"/>
      <c r="P91" s="1"/>
      <c r="Q91" s="1"/>
      <c r="R91" s="1"/>
      <c r="S91" s="1"/>
    </row>
    <row r="92" spans="1:19" ht="23" customHeight="1">
      <c r="A92" s="1" t="s">
        <v>149</v>
      </c>
      <c r="B92" s="4">
        <v>46099</v>
      </c>
      <c r="C92" s="1" t="s">
        <v>18</v>
      </c>
      <c r="D92" s="1" t="s">
        <v>71</v>
      </c>
      <c r="E92" s="5">
        <v>26000</v>
      </c>
      <c r="F92" s="1">
        <v>0</v>
      </c>
      <c r="G92" s="4">
        <v>46101</v>
      </c>
      <c r="H92" s="4">
        <v>46107</v>
      </c>
      <c r="I92" s="4">
        <v>46110</v>
      </c>
      <c r="J92" s="4"/>
      <c r="K92" s="1" t="s">
        <v>55</v>
      </c>
      <c r="L92" s="1" t="str">
        <f t="shared" si="1"/>
        <v>Branch</v>
      </c>
      <c r="M92" s="1"/>
      <c r="N92" s="1"/>
      <c r="O92" s="1"/>
      <c r="P92" s="1"/>
      <c r="Q92" s="1"/>
      <c r="R92" s="1"/>
      <c r="S92" s="1"/>
    </row>
    <row r="93" spans="1:19" ht="23" customHeight="1">
      <c r="A93" s="1" t="s">
        <v>150</v>
      </c>
      <c r="B93" s="4">
        <v>46088</v>
      </c>
      <c r="C93" s="1" t="s">
        <v>19</v>
      </c>
      <c r="D93" s="1" t="s">
        <v>54</v>
      </c>
      <c r="E93" s="5">
        <v>6000</v>
      </c>
      <c r="F93" s="1">
        <v>0</v>
      </c>
      <c r="G93" s="4">
        <v>46088</v>
      </c>
      <c r="H93" s="4">
        <v>46093</v>
      </c>
      <c r="I93" s="4">
        <v>46096</v>
      </c>
      <c r="J93" s="4"/>
      <c r="K93" s="1" t="s">
        <v>55</v>
      </c>
      <c r="L93" s="1" t="str">
        <f t="shared" si="1"/>
        <v>Online</v>
      </c>
      <c r="M93" s="1"/>
      <c r="N93" s="1"/>
      <c r="O93" s="1"/>
      <c r="P93" s="1"/>
      <c r="Q93" s="1"/>
      <c r="R93" s="1"/>
      <c r="S93" s="1"/>
    </row>
    <row r="94" spans="1:19" ht="23" customHeight="1">
      <c r="A94" s="1" t="s">
        <v>151</v>
      </c>
      <c r="B94" s="4">
        <v>46112</v>
      </c>
      <c r="C94" s="1" t="s">
        <v>18</v>
      </c>
      <c r="D94" s="1" t="s">
        <v>65</v>
      </c>
      <c r="E94" s="5">
        <v>19000</v>
      </c>
      <c r="F94" s="1">
        <v>1</v>
      </c>
      <c r="G94" s="4"/>
      <c r="H94" s="4"/>
      <c r="I94" s="4"/>
      <c r="J94" s="4"/>
      <c r="K94" s="1" t="s">
        <v>69</v>
      </c>
      <c r="L94" s="1" t="str">
        <f t="shared" si="1"/>
        <v>Branch</v>
      </c>
      <c r="M94" s="1"/>
      <c r="N94" s="1"/>
      <c r="O94" s="1"/>
      <c r="P94" s="1"/>
      <c r="Q94" s="1"/>
      <c r="R94" s="1"/>
      <c r="S94" s="1"/>
    </row>
    <row r="95" spans="1:19" ht="23" customHeight="1">
      <c r="A95" s="1" t="s">
        <v>152</v>
      </c>
      <c r="B95" s="4">
        <v>46028</v>
      </c>
      <c r="C95" s="1" t="s">
        <v>18</v>
      </c>
      <c r="D95" s="1" t="s">
        <v>65</v>
      </c>
      <c r="E95" s="5">
        <v>42000</v>
      </c>
      <c r="F95" s="1">
        <v>1</v>
      </c>
      <c r="G95" s="4">
        <v>46033</v>
      </c>
      <c r="H95" s="4">
        <v>46035</v>
      </c>
      <c r="I95" s="4">
        <v>46037</v>
      </c>
      <c r="J95" s="4"/>
      <c r="K95" s="1" t="s">
        <v>55</v>
      </c>
      <c r="L95" s="1" t="str">
        <f t="shared" si="1"/>
        <v>Branch</v>
      </c>
      <c r="M95" s="1"/>
      <c r="N95" s="1"/>
      <c r="O95" s="1"/>
      <c r="P95" s="1"/>
      <c r="Q95" s="1"/>
      <c r="R95" s="1"/>
      <c r="S95" s="1"/>
    </row>
    <row r="96" spans="1:19" ht="23" customHeight="1">
      <c r="A96" s="1" t="s">
        <v>153</v>
      </c>
      <c r="B96" s="4">
        <v>46078</v>
      </c>
      <c r="C96" s="1" t="s">
        <v>18</v>
      </c>
      <c r="D96" s="1" t="s">
        <v>62</v>
      </c>
      <c r="E96" s="5">
        <v>49000</v>
      </c>
      <c r="F96" s="1">
        <v>0</v>
      </c>
      <c r="G96" s="4">
        <v>46079</v>
      </c>
      <c r="H96" s="4">
        <v>46086</v>
      </c>
      <c r="I96" s="4">
        <v>46088</v>
      </c>
      <c r="J96" s="4"/>
      <c r="K96" s="1" t="s">
        <v>63</v>
      </c>
      <c r="L96" s="1" t="str">
        <f t="shared" si="1"/>
        <v>Branch</v>
      </c>
      <c r="M96" s="1"/>
      <c r="N96" s="1"/>
      <c r="O96" s="1"/>
      <c r="P96" s="1"/>
      <c r="Q96" s="1"/>
      <c r="R96" s="1"/>
      <c r="S96" s="1"/>
    </row>
    <row r="97" spans="1:19" ht="23" customHeight="1">
      <c r="A97" s="1" t="s">
        <v>154</v>
      </c>
      <c r="B97" s="4">
        <v>46059</v>
      </c>
      <c r="C97" s="1" t="s">
        <v>18</v>
      </c>
      <c r="D97" s="1" t="s">
        <v>65</v>
      </c>
      <c r="E97" s="5">
        <v>13000</v>
      </c>
      <c r="F97" s="1">
        <v>1</v>
      </c>
      <c r="G97" s="4">
        <v>46064</v>
      </c>
      <c r="H97" s="4">
        <v>46065</v>
      </c>
      <c r="I97" s="4">
        <v>46066</v>
      </c>
      <c r="J97" s="4"/>
      <c r="K97" s="1" t="s">
        <v>55</v>
      </c>
      <c r="L97" s="1" t="str">
        <f t="shared" si="1"/>
        <v>Branch</v>
      </c>
      <c r="M97" s="1"/>
      <c r="N97" s="1"/>
      <c r="O97" s="1"/>
      <c r="P97" s="1"/>
      <c r="Q97" s="1"/>
      <c r="R97" s="1"/>
      <c r="S97" s="1"/>
    </row>
    <row r="98" spans="1:19" ht="23" customHeight="1">
      <c r="A98" s="1" t="s">
        <v>155</v>
      </c>
      <c r="B98" s="4">
        <v>46044</v>
      </c>
      <c r="C98" s="1" t="s">
        <v>18</v>
      </c>
      <c r="D98" s="1" t="s">
        <v>59</v>
      </c>
      <c r="E98" s="5">
        <v>34000</v>
      </c>
      <c r="F98" s="1">
        <v>0</v>
      </c>
      <c r="G98" s="4">
        <v>46044</v>
      </c>
      <c r="H98" s="4">
        <v>46049</v>
      </c>
      <c r="I98" s="4">
        <v>46050</v>
      </c>
      <c r="J98" s="4"/>
      <c r="K98" s="1" t="s">
        <v>55</v>
      </c>
      <c r="L98" s="1" t="str">
        <f t="shared" si="1"/>
        <v>Branch</v>
      </c>
      <c r="M98" s="1"/>
      <c r="N98" s="1"/>
      <c r="O98" s="1"/>
      <c r="P98" s="1"/>
      <c r="Q98" s="1"/>
      <c r="R98" s="1"/>
      <c r="S98" s="1"/>
    </row>
    <row r="99" spans="1:19" ht="23" customHeight="1">
      <c r="A99" s="1" t="s">
        <v>156</v>
      </c>
      <c r="B99" s="4">
        <v>46079</v>
      </c>
      <c r="C99" s="1" t="s">
        <v>18</v>
      </c>
      <c r="D99" s="1" t="s">
        <v>71</v>
      </c>
      <c r="E99" s="5">
        <v>37000</v>
      </c>
      <c r="F99" s="1">
        <v>1</v>
      </c>
      <c r="G99" s="4"/>
      <c r="H99" s="4"/>
      <c r="I99" s="4"/>
      <c r="J99" s="4">
        <v>46081</v>
      </c>
      <c r="K99" s="1" t="s">
        <v>86</v>
      </c>
      <c r="L99" s="1" t="str">
        <f t="shared" si="1"/>
        <v>Branch</v>
      </c>
      <c r="M99" s="1"/>
      <c r="N99" s="1"/>
      <c r="O99" s="1"/>
      <c r="P99" s="1"/>
      <c r="Q99" s="1"/>
      <c r="R99" s="1"/>
      <c r="S99" s="1"/>
    </row>
    <row r="100" spans="1:19" ht="23" customHeight="1">
      <c r="A100" s="1" t="s">
        <v>157</v>
      </c>
      <c r="B100" s="4">
        <v>46111</v>
      </c>
      <c r="C100" s="1" t="s">
        <v>19</v>
      </c>
      <c r="D100" s="1" t="s">
        <v>54</v>
      </c>
      <c r="E100" s="5">
        <v>17000</v>
      </c>
      <c r="F100" s="1">
        <v>0</v>
      </c>
      <c r="G100" s="4">
        <v>46111</v>
      </c>
      <c r="H100" s="4">
        <v>46112</v>
      </c>
      <c r="I100" s="4"/>
      <c r="J100" s="4"/>
      <c r="K100" s="1" t="s">
        <v>69</v>
      </c>
      <c r="L100" s="1" t="str">
        <f t="shared" si="1"/>
        <v>Online</v>
      </c>
      <c r="M100" s="1"/>
      <c r="N100" s="1"/>
      <c r="O100" s="1"/>
      <c r="P100" s="1"/>
      <c r="Q100" s="1"/>
      <c r="R100" s="1"/>
      <c r="S100" s="1"/>
    </row>
    <row r="101" spans="1:19" ht="23" customHeight="1">
      <c r="A101" s="1" t="s">
        <v>158</v>
      </c>
      <c r="B101" s="4">
        <v>46104</v>
      </c>
      <c r="C101" s="1" t="s">
        <v>18</v>
      </c>
      <c r="D101" s="1" t="s">
        <v>62</v>
      </c>
      <c r="E101" s="5">
        <v>12000</v>
      </c>
      <c r="F101" s="1">
        <v>0</v>
      </c>
      <c r="G101" s="4">
        <v>46104</v>
      </c>
      <c r="H101" s="4">
        <v>46110</v>
      </c>
      <c r="I101" s="4"/>
      <c r="J101" s="4"/>
      <c r="K101" s="1" t="s">
        <v>69</v>
      </c>
      <c r="L101" s="1" t="str">
        <f t="shared" si="1"/>
        <v>Branch</v>
      </c>
      <c r="M101" s="1"/>
      <c r="N101" s="1"/>
      <c r="O101" s="1"/>
      <c r="P101" s="1"/>
      <c r="Q101" s="1"/>
      <c r="R101" s="1"/>
      <c r="S101" s="1"/>
    </row>
    <row r="102" spans="1:19" ht="23" customHeight="1">
      <c r="A102" s="1" t="s">
        <v>159</v>
      </c>
      <c r="B102" s="4">
        <v>46037</v>
      </c>
      <c r="C102" s="1" t="s">
        <v>19</v>
      </c>
      <c r="D102" s="1" t="s">
        <v>54</v>
      </c>
      <c r="E102" s="5">
        <v>9000</v>
      </c>
      <c r="F102" s="1">
        <v>0</v>
      </c>
      <c r="G102" s="4">
        <v>46038</v>
      </c>
      <c r="H102" s="4">
        <v>46039</v>
      </c>
      <c r="I102" s="4">
        <v>46042</v>
      </c>
      <c r="J102" s="4"/>
      <c r="K102" s="1" t="s">
        <v>55</v>
      </c>
      <c r="L102" s="1" t="str">
        <f t="shared" si="1"/>
        <v>Online</v>
      </c>
      <c r="M102" s="1"/>
      <c r="N102" s="1"/>
      <c r="O102" s="1"/>
      <c r="P102" s="1"/>
      <c r="Q102" s="1"/>
      <c r="R102" s="1"/>
      <c r="S102" s="1"/>
    </row>
    <row r="103" spans="1:19" ht="23" customHeight="1">
      <c r="A103" s="1" t="s">
        <v>160</v>
      </c>
      <c r="B103" s="4">
        <v>46084</v>
      </c>
      <c r="C103" s="1" t="s">
        <v>19</v>
      </c>
      <c r="D103" s="1" t="s">
        <v>54</v>
      </c>
      <c r="E103" s="5">
        <v>25000</v>
      </c>
      <c r="F103" s="1">
        <v>1</v>
      </c>
      <c r="G103" s="4">
        <v>46093</v>
      </c>
      <c r="H103" s="4">
        <v>46098</v>
      </c>
      <c r="I103" s="4">
        <v>46099</v>
      </c>
      <c r="J103" s="4"/>
      <c r="K103" s="1" t="s">
        <v>55</v>
      </c>
      <c r="L103" s="1" t="str">
        <f t="shared" si="1"/>
        <v>Online</v>
      </c>
      <c r="M103" s="1"/>
      <c r="N103" s="1"/>
      <c r="O103" s="1"/>
      <c r="P103" s="1"/>
      <c r="Q103" s="1"/>
      <c r="R103" s="1"/>
      <c r="S103" s="1"/>
    </row>
    <row r="104" spans="1:19" ht="23" customHeight="1">
      <c r="A104" s="1" t="s">
        <v>161</v>
      </c>
      <c r="B104" s="4">
        <v>46092</v>
      </c>
      <c r="C104" s="1" t="s">
        <v>19</v>
      </c>
      <c r="D104" s="1" t="s">
        <v>54</v>
      </c>
      <c r="E104" s="5">
        <v>48000</v>
      </c>
      <c r="F104" s="1">
        <v>0</v>
      </c>
      <c r="G104" s="4">
        <v>46093</v>
      </c>
      <c r="H104" s="4">
        <v>46097</v>
      </c>
      <c r="I104" s="4">
        <v>46098</v>
      </c>
      <c r="J104" s="4"/>
      <c r="K104" s="1" t="s">
        <v>63</v>
      </c>
      <c r="L104" s="1" t="str">
        <f t="shared" si="1"/>
        <v>Online</v>
      </c>
      <c r="M104" s="1"/>
      <c r="N104" s="1"/>
      <c r="O104" s="1"/>
      <c r="P104" s="1"/>
      <c r="Q104" s="1"/>
      <c r="R104" s="1"/>
      <c r="S104" s="1"/>
    </row>
    <row r="105" spans="1:19" ht="23" customHeight="1">
      <c r="A105" s="1" t="s">
        <v>162</v>
      </c>
      <c r="B105" s="4">
        <v>46091</v>
      </c>
      <c r="C105" s="1" t="s">
        <v>19</v>
      </c>
      <c r="D105" s="1" t="s">
        <v>54</v>
      </c>
      <c r="E105" s="5">
        <v>35000</v>
      </c>
      <c r="F105" s="1">
        <v>0</v>
      </c>
      <c r="G105" s="4">
        <v>46091</v>
      </c>
      <c r="H105" s="4">
        <v>46094</v>
      </c>
      <c r="I105" s="4">
        <v>46097</v>
      </c>
      <c r="J105" s="4"/>
      <c r="K105" s="1" t="s">
        <v>55</v>
      </c>
      <c r="L105" s="1" t="str">
        <f t="shared" si="1"/>
        <v>Online</v>
      </c>
      <c r="M105" s="1"/>
      <c r="N105" s="1"/>
      <c r="O105" s="1"/>
      <c r="P105" s="1"/>
      <c r="Q105" s="1"/>
      <c r="R105" s="1"/>
      <c r="S105" s="1"/>
    </row>
    <row r="106" spans="1:19" ht="23" customHeight="1">
      <c r="A106" s="1" t="s">
        <v>163</v>
      </c>
      <c r="B106" s="4">
        <v>46071</v>
      </c>
      <c r="C106" s="1" t="s">
        <v>18</v>
      </c>
      <c r="D106" s="1" t="s">
        <v>71</v>
      </c>
      <c r="E106" s="5">
        <v>32000</v>
      </c>
      <c r="F106" s="1">
        <v>0</v>
      </c>
      <c r="G106" s="4">
        <v>46071</v>
      </c>
      <c r="H106" s="4">
        <v>46074</v>
      </c>
      <c r="I106" s="4">
        <v>46076</v>
      </c>
      <c r="J106" s="4"/>
      <c r="K106" s="1" t="s">
        <v>55</v>
      </c>
      <c r="L106" s="1" t="str">
        <f t="shared" si="1"/>
        <v>Branch</v>
      </c>
      <c r="M106" s="1"/>
      <c r="N106" s="1"/>
      <c r="O106" s="1"/>
      <c r="P106" s="1"/>
      <c r="Q106" s="1"/>
      <c r="R106" s="1"/>
      <c r="S106" s="1"/>
    </row>
    <row r="107" spans="1:19" ht="23" customHeight="1">
      <c r="A107" s="1" t="s">
        <v>164</v>
      </c>
      <c r="B107" s="4">
        <v>46109</v>
      </c>
      <c r="C107" s="1" t="s">
        <v>19</v>
      </c>
      <c r="D107" s="1" t="s">
        <v>54</v>
      </c>
      <c r="E107" s="5">
        <v>31000</v>
      </c>
      <c r="F107" s="1">
        <v>1</v>
      </c>
      <c r="G107" s="4"/>
      <c r="H107" s="4"/>
      <c r="I107" s="4"/>
      <c r="J107" s="4"/>
      <c r="K107" s="1" t="s">
        <v>69</v>
      </c>
      <c r="L107" s="1" t="str">
        <f t="shared" si="1"/>
        <v>Online</v>
      </c>
      <c r="M107" s="1"/>
      <c r="N107" s="1"/>
      <c r="O107" s="1"/>
      <c r="P107" s="1"/>
      <c r="Q107" s="1"/>
      <c r="R107" s="1"/>
      <c r="S107" s="1"/>
    </row>
    <row r="108" spans="1:19" ht="23" customHeight="1">
      <c r="A108" s="1" t="s">
        <v>165</v>
      </c>
      <c r="B108" s="4">
        <v>46079</v>
      </c>
      <c r="C108" s="1" t="s">
        <v>19</v>
      </c>
      <c r="D108" s="1" t="s">
        <v>54</v>
      </c>
      <c r="E108" s="5">
        <v>9000</v>
      </c>
      <c r="F108" s="1">
        <v>0</v>
      </c>
      <c r="G108" s="4">
        <v>46081</v>
      </c>
      <c r="H108" s="4">
        <v>46083</v>
      </c>
      <c r="I108" s="4">
        <v>46086</v>
      </c>
      <c r="J108" s="4"/>
      <c r="K108" s="1" t="s">
        <v>55</v>
      </c>
      <c r="L108" s="1" t="str">
        <f t="shared" si="1"/>
        <v>Online</v>
      </c>
      <c r="M108" s="1"/>
      <c r="N108" s="1"/>
      <c r="O108" s="1"/>
      <c r="P108" s="1"/>
      <c r="Q108" s="1"/>
      <c r="R108" s="1"/>
      <c r="S108" s="1"/>
    </row>
    <row r="109" spans="1:19" ht="23" customHeight="1">
      <c r="A109" s="1" t="s">
        <v>166</v>
      </c>
      <c r="B109" s="4">
        <v>46101</v>
      </c>
      <c r="C109" s="1" t="s">
        <v>18</v>
      </c>
      <c r="D109" s="1" t="s">
        <v>59</v>
      </c>
      <c r="E109" s="5">
        <v>33000</v>
      </c>
      <c r="F109" s="1">
        <v>1</v>
      </c>
      <c r="G109" s="4">
        <v>46111</v>
      </c>
      <c r="H109" s="4"/>
      <c r="I109" s="4"/>
      <c r="J109" s="4"/>
      <c r="K109" s="1" t="s">
        <v>69</v>
      </c>
      <c r="L109" s="1" t="str">
        <f t="shared" si="1"/>
        <v>Branch</v>
      </c>
      <c r="M109" s="1"/>
      <c r="N109" s="1"/>
      <c r="O109" s="1"/>
      <c r="P109" s="1"/>
      <c r="Q109" s="1"/>
      <c r="R109" s="1"/>
      <c r="S109" s="1"/>
    </row>
    <row r="110" spans="1:19" ht="23" customHeight="1">
      <c r="A110" s="1" t="s">
        <v>167</v>
      </c>
      <c r="B110" s="4">
        <v>46093</v>
      </c>
      <c r="C110" s="1" t="s">
        <v>19</v>
      </c>
      <c r="D110" s="1" t="s">
        <v>54</v>
      </c>
      <c r="E110" s="5">
        <v>16000</v>
      </c>
      <c r="F110" s="1">
        <v>1</v>
      </c>
      <c r="G110" s="4">
        <v>46099</v>
      </c>
      <c r="H110" s="4">
        <v>46104</v>
      </c>
      <c r="I110" s="4">
        <v>46107</v>
      </c>
      <c r="J110" s="4"/>
      <c r="K110" s="1" t="s">
        <v>55</v>
      </c>
      <c r="L110" s="1" t="str">
        <f t="shared" si="1"/>
        <v>Online</v>
      </c>
      <c r="M110" s="1"/>
      <c r="N110" s="1"/>
      <c r="O110" s="1"/>
      <c r="P110" s="1"/>
      <c r="Q110" s="1"/>
      <c r="R110" s="1"/>
      <c r="S110" s="1"/>
    </row>
    <row r="111" spans="1:19" ht="23" customHeight="1">
      <c r="A111" s="1" t="s">
        <v>168</v>
      </c>
      <c r="B111" s="4">
        <v>46039</v>
      </c>
      <c r="C111" s="1" t="s">
        <v>19</v>
      </c>
      <c r="D111" s="1" t="s">
        <v>54</v>
      </c>
      <c r="E111" s="5">
        <v>42000</v>
      </c>
      <c r="F111" s="1">
        <v>0</v>
      </c>
      <c r="G111" s="4">
        <v>46041</v>
      </c>
      <c r="H111" s="4">
        <v>46045</v>
      </c>
      <c r="I111" s="4">
        <v>46048</v>
      </c>
      <c r="J111" s="4"/>
      <c r="K111" s="1" t="s">
        <v>55</v>
      </c>
      <c r="L111" s="1" t="str">
        <f t="shared" si="1"/>
        <v>Online</v>
      </c>
      <c r="M111" s="1"/>
      <c r="N111" s="1"/>
      <c r="O111" s="1"/>
      <c r="P111" s="1"/>
      <c r="Q111" s="1"/>
      <c r="R111" s="1"/>
      <c r="S111" s="1"/>
    </row>
    <row r="112" spans="1:19" ht="23" customHeight="1">
      <c r="A112" s="1" t="s">
        <v>169</v>
      </c>
      <c r="B112" s="4">
        <v>46073</v>
      </c>
      <c r="C112" s="1" t="s">
        <v>19</v>
      </c>
      <c r="D112" s="1" t="s">
        <v>54</v>
      </c>
      <c r="E112" s="5">
        <v>40000</v>
      </c>
      <c r="F112" s="1">
        <v>0</v>
      </c>
      <c r="G112" s="4">
        <v>46073</v>
      </c>
      <c r="H112" s="4">
        <v>46078</v>
      </c>
      <c r="I112" s="4">
        <v>46079</v>
      </c>
      <c r="J112" s="4"/>
      <c r="K112" s="1" t="s">
        <v>55</v>
      </c>
      <c r="L112" s="1" t="str">
        <f t="shared" si="1"/>
        <v>Online</v>
      </c>
      <c r="M112" s="1"/>
      <c r="N112" s="1"/>
      <c r="O112" s="1"/>
      <c r="P112" s="1"/>
      <c r="Q112" s="1"/>
      <c r="R112" s="1"/>
      <c r="S112" s="1"/>
    </row>
    <row r="113" spans="1:19" ht="23" customHeight="1">
      <c r="A113" s="1" t="s">
        <v>170</v>
      </c>
      <c r="B113" s="4">
        <v>46023</v>
      </c>
      <c r="C113" s="1" t="s">
        <v>19</v>
      </c>
      <c r="D113" s="1" t="s">
        <v>54</v>
      </c>
      <c r="E113" s="5">
        <v>27000</v>
      </c>
      <c r="F113" s="1">
        <v>0</v>
      </c>
      <c r="G113" s="4">
        <v>46024</v>
      </c>
      <c r="H113" s="4">
        <v>46026</v>
      </c>
      <c r="I113" s="4">
        <v>46028</v>
      </c>
      <c r="J113" s="4"/>
      <c r="K113" s="1" t="s">
        <v>63</v>
      </c>
      <c r="L113" s="1" t="str">
        <f t="shared" si="1"/>
        <v>Online</v>
      </c>
      <c r="M113" s="1"/>
      <c r="N113" s="1"/>
      <c r="O113" s="1"/>
      <c r="P113" s="1"/>
      <c r="Q113" s="1"/>
      <c r="R113" s="1"/>
      <c r="S113" s="1"/>
    </row>
    <row r="114" spans="1:19" ht="23" customHeight="1">
      <c r="A114" s="1" t="s">
        <v>171</v>
      </c>
      <c r="B114" s="4">
        <v>46027</v>
      </c>
      <c r="C114" s="1" t="s">
        <v>18</v>
      </c>
      <c r="D114" s="1" t="s">
        <v>62</v>
      </c>
      <c r="E114" s="5">
        <v>35000</v>
      </c>
      <c r="F114" s="1">
        <v>1</v>
      </c>
      <c r="G114" s="4">
        <v>46034</v>
      </c>
      <c r="H114" s="4">
        <v>46042</v>
      </c>
      <c r="I114" s="4">
        <v>46045</v>
      </c>
      <c r="J114" s="4"/>
      <c r="K114" s="1" t="s">
        <v>63</v>
      </c>
      <c r="L114" s="1" t="str">
        <f t="shared" si="1"/>
        <v>Branch</v>
      </c>
      <c r="M114" s="1"/>
      <c r="N114" s="1"/>
      <c r="O114" s="1"/>
      <c r="P114" s="1"/>
      <c r="Q114" s="1"/>
      <c r="R114" s="1"/>
      <c r="S114" s="1"/>
    </row>
    <row r="115" spans="1:19" ht="23" customHeight="1">
      <c r="A115" s="1" t="s">
        <v>172</v>
      </c>
      <c r="B115" s="4">
        <v>46070</v>
      </c>
      <c r="C115" s="1" t="s">
        <v>19</v>
      </c>
      <c r="D115" s="1" t="s">
        <v>54</v>
      </c>
      <c r="E115" s="5">
        <v>16000</v>
      </c>
      <c r="F115" s="1">
        <v>0</v>
      </c>
      <c r="G115" s="4">
        <v>46070</v>
      </c>
      <c r="H115" s="4">
        <v>46072</v>
      </c>
      <c r="I115" s="4">
        <v>46075</v>
      </c>
      <c r="J115" s="4"/>
      <c r="K115" s="1" t="s">
        <v>55</v>
      </c>
      <c r="L115" s="1" t="str">
        <f t="shared" si="1"/>
        <v>Online</v>
      </c>
      <c r="M115" s="1"/>
      <c r="N115" s="1"/>
      <c r="O115" s="1"/>
      <c r="P115" s="1"/>
      <c r="Q115" s="1"/>
      <c r="R115" s="1"/>
      <c r="S115" s="1"/>
    </row>
    <row r="116" spans="1:19" ht="23" customHeight="1">
      <c r="A116" s="1" t="s">
        <v>173</v>
      </c>
      <c r="B116" s="4">
        <v>46076</v>
      </c>
      <c r="C116" s="1" t="s">
        <v>19</v>
      </c>
      <c r="D116" s="1" t="s">
        <v>54</v>
      </c>
      <c r="E116" s="5">
        <v>8000</v>
      </c>
      <c r="F116" s="1">
        <v>0</v>
      </c>
      <c r="G116" s="4">
        <v>46076</v>
      </c>
      <c r="H116" s="4">
        <v>46082</v>
      </c>
      <c r="I116" s="4">
        <v>46084</v>
      </c>
      <c r="J116" s="4"/>
      <c r="K116" s="1" t="s">
        <v>55</v>
      </c>
      <c r="L116" s="1" t="str">
        <f t="shared" si="1"/>
        <v>Online</v>
      </c>
      <c r="M116" s="1"/>
      <c r="N116" s="1"/>
      <c r="O116" s="1"/>
      <c r="P116" s="1"/>
      <c r="Q116" s="1"/>
      <c r="R116" s="1"/>
      <c r="S116" s="1"/>
    </row>
    <row r="117" spans="1:19" ht="23" customHeight="1">
      <c r="A117" s="1" t="s">
        <v>174</v>
      </c>
      <c r="B117" s="4">
        <v>46067</v>
      </c>
      <c r="C117" s="1" t="s">
        <v>19</v>
      </c>
      <c r="D117" s="1" t="s">
        <v>54</v>
      </c>
      <c r="E117" s="5">
        <v>19000</v>
      </c>
      <c r="F117" s="1">
        <v>0</v>
      </c>
      <c r="G117" s="4">
        <v>46069</v>
      </c>
      <c r="H117" s="4">
        <v>46071</v>
      </c>
      <c r="I117" s="4">
        <v>46072</v>
      </c>
      <c r="J117" s="4"/>
      <c r="K117" s="1" t="s">
        <v>55</v>
      </c>
      <c r="L117" s="1" t="str">
        <f t="shared" si="1"/>
        <v>Online</v>
      </c>
      <c r="M117" s="1"/>
      <c r="N117" s="1"/>
      <c r="O117" s="1"/>
      <c r="P117" s="1"/>
      <c r="Q117" s="1"/>
      <c r="R117" s="1"/>
      <c r="S117" s="1"/>
    </row>
    <row r="118" spans="1:19" ht="23" customHeight="1">
      <c r="A118" s="1" t="s">
        <v>175</v>
      </c>
      <c r="B118" s="4">
        <v>46107</v>
      </c>
      <c r="C118" s="1" t="s">
        <v>19</v>
      </c>
      <c r="D118" s="1" t="s">
        <v>54</v>
      </c>
      <c r="E118" s="5">
        <v>41000</v>
      </c>
      <c r="F118" s="1">
        <v>1</v>
      </c>
      <c r="G118" s="4"/>
      <c r="H118" s="4"/>
      <c r="I118" s="4"/>
      <c r="J118" s="4"/>
      <c r="K118" s="1" t="s">
        <v>69</v>
      </c>
      <c r="L118" s="1" t="str">
        <f t="shared" si="1"/>
        <v>Online</v>
      </c>
      <c r="M118" s="1"/>
      <c r="N118" s="1"/>
      <c r="O118" s="1"/>
      <c r="P118" s="1"/>
      <c r="Q118" s="1"/>
      <c r="R118" s="1"/>
      <c r="S118" s="1"/>
    </row>
    <row r="119" spans="1:19" ht="23" customHeight="1">
      <c r="A119" s="1" t="s">
        <v>176</v>
      </c>
      <c r="B119" s="4">
        <v>46027</v>
      </c>
      <c r="C119" s="1" t="s">
        <v>18</v>
      </c>
      <c r="D119" s="1" t="s">
        <v>59</v>
      </c>
      <c r="E119" s="5">
        <v>30000</v>
      </c>
      <c r="F119" s="1">
        <v>0</v>
      </c>
      <c r="G119" s="4">
        <v>46027</v>
      </c>
      <c r="H119" s="4">
        <v>46033</v>
      </c>
      <c r="I119" s="4">
        <v>46036</v>
      </c>
      <c r="J119" s="4"/>
      <c r="K119" s="1" t="s">
        <v>55</v>
      </c>
      <c r="L119" s="1" t="str">
        <f t="shared" si="1"/>
        <v>Branch</v>
      </c>
      <c r="M119" s="1"/>
      <c r="N119" s="1"/>
      <c r="O119" s="1"/>
      <c r="P119" s="1"/>
      <c r="Q119" s="1"/>
      <c r="R119" s="1"/>
      <c r="S119" s="1"/>
    </row>
    <row r="120" spans="1:19" ht="23" customHeight="1">
      <c r="A120" s="1" t="s">
        <v>177</v>
      </c>
      <c r="B120" s="4">
        <v>46040</v>
      </c>
      <c r="C120" s="1" t="s">
        <v>18</v>
      </c>
      <c r="D120" s="1" t="s">
        <v>71</v>
      </c>
      <c r="E120" s="5">
        <v>5000</v>
      </c>
      <c r="F120" s="1">
        <v>1</v>
      </c>
      <c r="G120" s="4">
        <v>46047</v>
      </c>
      <c r="H120" s="4">
        <v>46051</v>
      </c>
      <c r="I120" s="4">
        <v>46052</v>
      </c>
      <c r="J120" s="4"/>
      <c r="K120" s="1" t="s">
        <v>55</v>
      </c>
      <c r="L120" s="1" t="str">
        <f t="shared" si="1"/>
        <v>Branch</v>
      </c>
      <c r="M120" s="1"/>
      <c r="N120" s="1"/>
      <c r="O120" s="1"/>
      <c r="P120" s="1"/>
      <c r="Q120" s="1"/>
      <c r="R120" s="1"/>
      <c r="S120" s="1"/>
    </row>
    <row r="121" spans="1:19" ht="23" customHeight="1">
      <c r="A121" s="1" t="s">
        <v>178</v>
      </c>
      <c r="B121" s="4">
        <v>46111</v>
      </c>
      <c r="C121" s="1" t="s">
        <v>19</v>
      </c>
      <c r="D121" s="1" t="s">
        <v>54</v>
      </c>
      <c r="E121" s="5">
        <v>46000</v>
      </c>
      <c r="F121" s="1">
        <v>0</v>
      </c>
      <c r="G121" s="4">
        <v>46111</v>
      </c>
      <c r="H121" s="4"/>
      <c r="I121" s="4"/>
      <c r="J121" s="4"/>
      <c r="K121" s="1" t="s">
        <v>69</v>
      </c>
      <c r="L121" s="1" t="str">
        <f t="shared" si="1"/>
        <v>Online</v>
      </c>
      <c r="M121" s="1"/>
      <c r="N121" s="1"/>
      <c r="O121" s="1"/>
      <c r="P121" s="1"/>
      <c r="Q121" s="1"/>
      <c r="R121" s="1"/>
      <c r="S121" s="1"/>
    </row>
    <row r="122" spans="1:19" ht="23" customHeight="1">
      <c r="A122" s="1" t="s">
        <v>179</v>
      </c>
      <c r="B122" s="4">
        <v>46034</v>
      </c>
      <c r="C122" s="1" t="s">
        <v>19</v>
      </c>
      <c r="D122" s="1" t="s">
        <v>54</v>
      </c>
      <c r="E122" s="5">
        <v>5000</v>
      </c>
      <c r="F122" s="1">
        <v>0</v>
      </c>
      <c r="G122" s="4">
        <v>46034</v>
      </c>
      <c r="H122" s="4">
        <v>46037</v>
      </c>
      <c r="I122" s="4">
        <v>46040</v>
      </c>
      <c r="J122" s="4"/>
      <c r="K122" s="1" t="s">
        <v>55</v>
      </c>
      <c r="L122" s="1" t="str">
        <f t="shared" si="1"/>
        <v>Online</v>
      </c>
      <c r="M122" s="1"/>
      <c r="N122" s="1"/>
      <c r="O122" s="1"/>
      <c r="P122" s="1"/>
      <c r="Q122" s="1"/>
      <c r="R122" s="1"/>
      <c r="S122" s="1"/>
    </row>
    <row r="123" spans="1:19" ht="23" customHeight="1">
      <c r="A123" s="1" t="s">
        <v>180</v>
      </c>
      <c r="B123" s="4">
        <v>46069</v>
      </c>
      <c r="C123" s="1" t="s">
        <v>18</v>
      </c>
      <c r="D123" s="1" t="s">
        <v>62</v>
      </c>
      <c r="E123" s="5">
        <v>22000</v>
      </c>
      <c r="F123" s="1">
        <v>1</v>
      </c>
      <c r="G123" s="4">
        <v>46073</v>
      </c>
      <c r="H123" s="4">
        <v>46078</v>
      </c>
      <c r="I123" s="4">
        <v>46080</v>
      </c>
      <c r="J123" s="4"/>
      <c r="K123" s="1" t="s">
        <v>63</v>
      </c>
      <c r="L123" s="1" t="str">
        <f t="shared" si="1"/>
        <v>Branch</v>
      </c>
      <c r="M123" s="1"/>
      <c r="N123" s="1"/>
      <c r="O123" s="1"/>
      <c r="P123" s="1"/>
      <c r="Q123" s="1"/>
      <c r="R123" s="1"/>
      <c r="S123" s="1"/>
    </row>
    <row r="124" spans="1:19" ht="23" customHeight="1">
      <c r="A124" s="1" t="s">
        <v>181</v>
      </c>
      <c r="B124" s="4">
        <v>46026</v>
      </c>
      <c r="C124" s="1" t="s">
        <v>18</v>
      </c>
      <c r="D124" s="1" t="s">
        <v>71</v>
      </c>
      <c r="E124" s="5">
        <v>5000</v>
      </c>
      <c r="F124" s="1">
        <v>1</v>
      </c>
      <c r="G124" s="4"/>
      <c r="H124" s="4"/>
      <c r="I124" s="4"/>
      <c r="J124" s="4">
        <v>46031</v>
      </c>
      <c r="K124" s="1" t="s">
        <v>86</v>
      </c>
      <c r="L124" s="1" t="str">
        <f t="shared" si="1"/>
        <v>Branch</v>
      </c>
      <c r="M124" s="1"/>
      <c r="N124" s="1"/>
      <c r="O124" s="1"/>
      <c r="P124" s="1"/>
      <c r="Q124" s="1"/>
      <c r="R124" s="1"/>
      <c r="S124" s="1"/>
    </row>
    <row r="125" spans="1:19" ht="23" customHeight="1">
      <c r="A125" s="1" t="s">
        <v>182</v>
      </c>
      <c r="B125" s="4">
        <v>46059</v>
      </c>
      <c r="C125" s="1" t="s">
        <v>19</v>
      </c>
      <c r="D125" s="1" t="s">
        <v>54</v>
      </c>
      <c r="E125" s="5">
        <v>18000</v>
      </c>
      <c r="F125" s="1">
        <v>1</v>
      </c>
      <c r="G125" s="4">
        <v>46063</v>
      </c>
      <c r="H125" s="4">
        <v>46067</v>
      </c>
      <c r="I125" s="4">
        <v>46070</v>
      </c>
      <c r="J125" s="4"/>
      <c r="K125" s="1" t="s">
        <v>63</v>
      </c>
      <c r="L125" s="1" t="str">
        <f t="shared" si="1"/>
        <v>Online</v>
      </c>
      <c r="M125" s="1"/>
      <c r="N125" s="1"/>
      <c r="O125" s="1"/>
      <c r="P125" s="1"/>
      <c r="Q125" s="1"/>
      <c r="R125" s="1"/>
      <c r="S125" s="1"/>
    </row>
    <row r="126" spans="1:19" ht="23" customHeight="1">
      <c r="A126" s="1" t="s">
        <v>183</v>
      </c>
      <c r="B126" s="4">
        <v>46062</v>
      </c>
      <c r="C126" s="1" t="s">
        <v>18</v>
      </c>
      <c r="D126" s="1" t="s">
        <v>65</v>
      </c>
      <c r="E126" s="5">
        <v>38000</v>
      </c>
      <c r="F126" s="1">
        <v>0</v>
      </c>
      <c r="G126" s="4">
        <v>46063</v>
      </c>
      <c r="H126" s="4">
        <v>46065</v>
      </c>
      <c r="I126" s="4">
        <v>46068</v>
      </c>
      <c r="J126" s="4"/>
      <c r="K126" s="1" t="s">
        <v>55</v>
      </c>
      <c r="L126" s="1" t="str">
        <f t="shared" si="1"/>
        <v>Branch</v>
      </c>
      <c r="M126" s="1"/>
      <c r="N126" s="1"/>
      <c r="O126" s="1"/>
      <c r="P126" s="1"/>
      <c r="Q126" s="1"/>
      <c r="R126" s="1"/>
      <c r="S126" s="1"/>
    </row>
    <row r="127" spans="1:19" ht="23" customHeight="1">
      <c r="A127" s="1" t="s">
        <v>184</v>
      </c>
      <c r="B127" s="4">
        <v>46027</v>
      </c>
      <c r="C127" s="1" t="s">
        <v>18</v>
      </c>
      <c r="D127" s="1" t="s">
        <v>71</v>
      </c>
      <c r="E127" s="5">
        <v>29000</v>
      </c>
      <c r="F127" s="1">
        <v>0</v>
      </c>
      <c r="G127" s="4">
        <v>46027</v>
      </c>
      <c r="H127" s="4">
        <v>46031</v>
      </c>
      <c r="I127" s="4">
        <v>46034</v>
      </c>
      <c r="J127" s="4"/>
      <c r="K127" s="1" t="s">
        <v>55</v>
      </c>
      <c r="L127" s="1" t="str">
        <f t="shared" si="1"/>
        <v>Branch</v>
      </c>
      <c r="M127" s="1"/>
      <c r="N127" s="1"/>
      <c r="O127" s="1"/>
      <c r="P127" s="1"/>
      <c r="Q127" s="1"/>
      <c r="R127" s="1"/>
      <c r="S127" s="1"/>
    </row>
    <row r="128" spans="1:19" ht="23" customHeight="1">
      <c r="A128" s="1" t="s">
        <v>185</v>
      </c>
      <c r="B128" s="4">
        <v>46053</v>
      </c>
      <c r="C128" s="1" t="s">
        <v>18</v>
      </c>
      <c r="D128" s="1" t="s">
        <v>62</v>
      </c>
      <c r="E128" s="5">
        <v>6000</v>
      </c>
      <c r="F128" s="1">
        <v>0</v>
      </c>
      <c r="G128" s="4">
        <v>46055</v>
      </c>
      <c r="H128" s="4">
        <v>46059</v>
      </c>
      <c r="I128" s="4">
        <v>46062</v>
      </c>
      <c r="J128" s="4"/>
      <c r="K128" s="1" t="s">
        <v>63</v>
      </c>
      <c r="L128" s="1" t="str">
        <f t="shared" si="1"/>
        <v>Branch</v>
      </c>
      <c r="M128" s="1"/>
      <c r="N128" s="1"/>
      <c r="O128" s="1"/>
      <c r="P128" s="1"/>
      <c r="Q128" s="1"/>
      <c r="R128" s="1"/>
      <c r="S128" s="1"/>
    </row>
    <row r="129" spans="1:19" ht="23" customHeight="1">
      <c r="A129" s="1" t="s">
        <v>186</v>
      </c>
      <c r="B129" s="4">
        <v>46050</v>
      </c>
      <c r="C129" s="1" t="s">
        <v>19</v>
      </c>
      <c r="D129" s="1" t="s">
        <v>54</v>
      </c>
      <c r="E129" s="5">
        <v>24000</v>
      </c>
      <c r="F129" s="1">
        <v>1</v>
      </c>
      <c r="G129" s="4">
        <v>46056</v>
      </c>
      <c r="H129" s="4">
        <v>46059</v>
      </c>
      <c r="I129" s="4">
        <v>46061</v>
      </c>
      <c r="J129" s="4"/>
      <c r="K129" s="1" t="s">
        <v>55</v>
      </c>
      <c r="L129" s="1" t="str">
        <f t="shared" si="1"/>
        <v>Online</v>
      </c>
      <c r="M129" s="1"/>
      <c r="N129" s="1"/>
      <c r="O129" s="1"/>
      <c r="P129" s="1"/>
      <c r="Q129" s="1"/>
      <c r="R129" s="1"/>
      <c r="S129" s="1"/>
    </row>
    <row r="130" spans="1:19" ht="23" customHeight="1">
      <c r="A130" s="1" t="s">
        <v>187</v>
      </c>
      <c r="B130" s="4">
        <v>46025</v>
      </c>
      <c r="C130" s="1" t="s">
        <v>18</v>
      </c>
      <c r="D130" s="1" t="s">
        <v>62</v>
      </c>
      <c r="E130" s="5">
        <v>13000</v>
      </c>
      <c r="F130" s="1">
        <v>1</v>
      </c>
      <c r="G130" s="4">
        <v>46033</v>
      </c>
      <c r="H130" s="4">
        <v>46036</v>
      </c>
      <c r="I130" s="4">
        <v>46037</v>
      </c>
      <c r="J130" s="4"/>
      <c r="K130" s="1" t="s">
        <v>55</v>
      </c>
      <c r="L130" s="1" t="str">
        <f t="shared" si="1"/>
        <v>Branch</v>
      </c>
      <c r="M130" s="1"/>
      <c r="N130" s="1"/>
      <c r="O130" s="1"/>
      <c r="P130" s="1"/>
      <c r="Q130" s="1"/>
      <c r="R130" s="1"/>
      <c r="S130" s="1"/>
    </row>
    <row r="131" spans="1:19" ht="23" customHeight="1">
      <c r="A131" s="1" t="s">
        <v>188</v>
      </c>
      <c r="B131" s="4">
        <v>46105</v>
      </c>
      <c r="C131" s="1" t="s">
        <v>19</v>
      </c>
      <c r="D131" s="1" t="s">
        <v>54</v>
      </c>
      <c r="E131" s="5">
        <v>38000</v>
      </c>
      <c r="F131" s="1">
        <v>0</v>
      </c>
      <c r="G131" s="4">
        <v>46105</v>
      </c>
      <c r="H131" s="4">
        <v>46111</v>
      </c>
      <c r="I131" s="4">
        <v>46112</v>
      </c>
      <c r="J131" s="4"/>
      <c r="K131" s="1" t="s">
        <v>55</v>
      </c>
      <c r="L131" s="1" t="str">
        <f t="shared" si="1"/>
        <v>Online</v>
      </c>
      <c r="M131" s="1"/>
      <c r="N131" s="1"/>
      <c r="O131" s="1"/>
      <c r="P131" s="1"/>
      <c r="Q131" s="1"/>
      <c r="R131" s="1"/>
      <c r="S131" s="1"/>
    </row>
    <row r="132" spans="1:19" ht="23" customHeight="1">
      <c r="A132" s="1" t="s">
        <v>189</v>
      </c>
      <c r="B132" s="4">
        <v>46077</v>
      </c>
      <c r="C132" s="1" t="s">
        <v>18</v>
      </c>
      <c r="D132" s="1" t="s">
        <v>62</v>
      </c>
      <c r="E132" s="5">
        <v>38000</v>
      </c>
      <c r="F132" s="1">
        <v>0</v>
      </c>
      <c r="G132" s="4">
        <v>46079</v>
      </c>
      <c r="H132" s="4">
        <v>46084</v>
      </c>
      <c r="I132" s="4">
        <v>46087</v>
      </c>
      <c r="J132" s="4"/>
      <c r="K132" s="1" t="s">
        <v>55</v>
      </c>
      <c r="L132" s="1" t="str">
        <f t="shared" si="1"/>
        <v>Branch</v>
      </c>
      <c r="M132" s="1"/>
      <c r="N132" s="1"/>
      <c r="O132" s="1"/>
      <c r="P132" s="1"/>
      <c r="Q132" s="1"/>
      <c r="R132" s="1"/>
      <c r="S132" s="1"/>
    </row>
    <row r="133" spans="1:19" ht="23" customHeight="1">
      <c r="A133" s="1" t="s">
        <v>190</v>
      </c>
      <c r="B133" s="4">
        <v>46063</v>
      </c>
      <c r="C133" s="1" t="s">
        <v>19</v>
      </c>
      <c r="D133" s="1" t="s">
        <v>54</v>
      </c>
      <c r="E133" s="5">
        <v>17000</v>
      </c>
      <c r="F133" s="1">
        <v>0</v>
      </c>
      <c r="G133" s="4">
        <v>46064</v>
      </c>
      <c r="H133" s="4">
        <v>46068</v>
      </c>
      <c r="I133" s="4">
        <v>46070</v>
      </c>
      <c r="J133" s="4"/>
      <c r="K133" s="1" t="s">
        <v>55</v>
      </c>
      <c r="L133" s="1" t="str">
        <f t="shared" ref="L133:L196" si="2">PROPER(TRIM(C133))</f>
        <v>Online</v>
      </c>
      <c r="M133" s="1"/>
      <c r="N133" s="1"/>
      <c r="O133" s="1"/>
      <c r="P133" s="1"/>
      <c r="Q133" s="1"/>
      <c r="R133" s="1"/>
      <c r="S133" s="1"/>
    </row>
    <row r="134" spans="1:19" ht="23" customHeight="1">
      <c r="A134" s="1" t="s">
        <v>191</v>
      </c>
      <c r="B134" s="4">
        <v>46087</v>
      </c>
      <c r="C134" s="1" t="s">
        <v>18</v>
      </c>
      <c r="D134" s="1" t="s">
        <v>65</v>
      </c>
      <c r="E134" s="5">
        <v>42000</v>
      </c>
      <c r="F134" s="1">
        <v>0</v>
      </c>
      <c r="G134" s="4">
        <v>46088</v>
      </c>
      <c r="H134" s="4">
        <v>46092</v>
      </c>
      <c r="I134" s="4">
        <v>46094</v>
      </c>
      <c r="J134" s="4"/>
      <c r="K134" s="1" t="s">
        <v>55</v>
      </c>
      <c r="L134" s="1" t="str">
        <f t="shared" si="2"/>
        <v>Branch</v>
      </c>
      <c r="M134" s="1"/>
      <c r="N134" s="1"/>
      <c r="O134" s="1"/>
      <c r="P134" s="1"/>
      <c r="Q134" s="1"/>
      <c r="R134" s="1"/>
      <c r="S134" s="1"/>
    </row>
    <row r="135" spans="1:19" ht="23" customHeight="1">
      <c r="A135" s="1" t="s">
        <v>192</v>
      </c>
      <c r="B135" s="4">
        <v>46058</v>
      </c>
      <c r="C135" s="1" t="s">
        <v>18</v>
      </c>
      <c r="D135" s="1" t="s">
        <v>62</v>
      </c>
      <c r="E135" s="5">
        <v>28000</v>
      </c>
      <c r="F135" s="1">
        <v>1</v>
      </c>
      <c r="G135" s="4">
        <v>46066</v>
      </c>
      <c r="H135" s="4">
        <v>46072</v>
      </c>
      <c r="I135" s="4">
        <v>46073</v>
      </c>
      <c r="J135" s="4"/>
      <c r="K135" s="1" t="s">
        <v>63</v>
      </c>
      <c r="L135" s="1" t="str">
        <f t="shared" si="2"/>
        <v>Branch</v>
      </c>
      <c r="M135" s="1"/>
      <c r="N135" s="1"/>
      <c r="O135" s="1"/>
      <c r="P135" s="1"/>
      <c r="Q135" s="1"/>
      <c r="R135" s="1"/>
      <c r="S135" s="1"/>
    </row>
    <row r="136" spans="1:19" ht="23" customHeight="1">
      <c r="A136" s="1" t="s">
        <v>193</v>
      </c>
      <c r="B136" s="4">
        <v>46066</v>
      </c>
      <c r="C136" s="1" t="s">
        <v>19</v>
      </c>
      <c r="D136" s="1" t="s">
        <v>54</v>
      </c>
      <c r="E136" s="5">
        <v>17000</v>
      </c>
      <c r="F136" s="1">
        <v>0</v>
      </c>
      <c r="G136" s="4">
        <v>46068</v>
      </c>
      <c r="H136" s="4">
        <v>46070</v>
      </c>
      <c r="I136" s="4">
        <v>46071</v>
      </c>
      <c r="J136" s="4"/>
      <c r="K136" s="1" t="s">
        <v>55</v>
      </c>
      <c r="L136" s="1" t="str">
        <f t="shared" si="2"/>
        <v>Online</v>
      </c>
      <c r="M136" s="1"/>
      <c r="N136" s="1"/>
      <c r="O136" s="1"/>
      <c r="P136" s="1"/>
      <c r="Q136" s="1"/>
      <c r="R136" s="1"/>
      <c r="S136" s="1"/>
    </row>
    <row r="137" spans="1:19" ht="23" customHeight="1">
      <c r="A137" s="1" t="s">
        <v>194</v>
      </c>
      <c r="B137" s="4">
        <v>46110</v>
      </c>
      <c r="C137" s="1" t="s">
        <v>18</v>
      </c>
      <c r="D137" s="1" t="s">
        <v>59</v>
      </c>
      <c r="E137" s="5">
        <v>12000</v>
      </c>
      <c r="F137" s="1">
        <v>0</v>
      </c>
      <c r="G137" s="4">
        <v>46111</v>
      </c>
      <c r="H137" s="4"/>
      <c r="I137" s="4"/>
      <c r="J137" s="4"/>
      <c r="K137" s="1" t="s">
        <v>69</v>
      </c>
      <c r="L137" s="1" t="str">
        <f t="shared" si="2"/>
        <v>Branch</v>
      </c>
      <c r="M137" s="1"/>
      <c r="N137" s="1"/>
      <c r="O137" s="1"/>
      <c r="P137" s="1"/>
      <c r="Q137" s="1"/>
      <c r="R137" s="1"/>
      <c r="S137" s="1"/>
    </row>
    <row r="138" spans="1:19" ht="23" customHeight="1">
      <c r="A138" s="1" t="s">
        <v>195</v>
      </c>
      <c r="B138" s="4">
        <v>46061</v>
      </c>
      <c r="C138" s="1" t="s">
        <v>18</v>
      </c>
      <c r="D138" s="1" t="s">
        <v>62</v>
      </c>
      <c r="E138" s="5">
        <v>17000</v>
      </c>
      <c r="F138" s="1">
        <v>0</v>
      </c>
      <c r="G138" s="4">
        <v>46062</v>
      </c>
      <c r="H138" s="4">
        <v>46069</v>
      </c>
      <c r="I138" s="4">
        <v>46071</v>
      </c>
      <c r="J138" s="4"/>
      <c r="K138" s="1" t="s">
        <v>55</v>
      </c>
      <c r="L138" s="1" t="str">
        <f t="shared" si="2"/>
        <v>Branch</v>
      </c>
      <c r="M138" s="1"/>
      <c r="N138" s="1"/>
      <c r="O138" s="1"/>
      <c r="P138" s="1"/>
      <c r="Q138" s="1"/>
      <c r="R138" s="1"/>
      <c r="S138" s="1"/>
    </row>
    <row r="139" spans="1:19" ht="23" customHeight="1">
      <c r="A139" s="1" t="s">
        <v>196</v>
      </c>
      <c r="B139" s="4">
        <v>46055</v>
      </c>
      <c r="C139" s="1" t="s">
        <v>19</v>
      </c>
      <c r="D139" s="1" t="s">
        <v>54</v>
      </c>
      <c r="E139" s="5">
        <v>37000</v>
      </c>
      <c r="F139" s="1">
        <v>0</v>
      </c>
      <c r="G139" s="4">
        <v>46055</v>
      </c>
      <c r="H139" s="4">
        <v>46061</v>
      </c>
      <c r="I139" s="4">
        <v>46063</v>
      </c>
      <c r="J139" s="4"/>
      <c r="K139" s="1" t="s">
        <v>55</v>
      </c>
      <c r="L139" s="1" t="str">
        <f t="shared" si="2"/>
        <v>Online</v>
      </c>
      <c r="M139" s="1"/>
      <c r="N139" s="1"/>
      <c r="O139" s="1"/>
      <c r="P139" s="1"/>
      <c r="Q139" s="1"/>
      <c r="R139" s="1"/>
      <c r="S139" s="1"/>
    </row>
    <row r="140" spans="1:19" ht="23" customHeight="1">
      <c r="A140" s="1" t="s">
        <v>197</v>
      </c>
      <c r="B140" s="4">
        <v>46044</v>
      </c>
      <c r="C140" s="1" t="s">
        <v>19</v>
      </c>
      <c r="D140" s="1" t="s">
        <v>54</v>
      </c>
      <c r="E140" s="5">
        <v>10000</v>
      </c>
      <c r="F140" s="1">
        <v>0</v>
      </c>
      <c r="G140" s="4">
        <v>46044</v>
      </c>
      <c r="H140" s="4">
        <v>46049</v>
      </c>
      <c r="I140" s="4">
        <v>46052</v>
      </c>
      <c r="J140" s="4"/>
      <c r="K140" s="1" t="s">
        <v>55</v>
      </c>
      <c r="L140" s="1" t="str">
        <f t="shared" si="2"/>
        <v>Online</v>
      </c>
      <c r="M140" s="1"/>
      <c r="N140" s="1"/>
      <c r="O140" s="1"/>
      <c r="P140" s="1"/>
      <c r="Q140" s="1"/>
      <c r="R140" s="1"/>
      <c r="S140" s="1"/>
    </row>
    <row r="141" spans="1:19" ht="23" customHeight="1">
      <c r="A141" s="1" t="s">
        <v>198</v>
      </c>
      <c r="B141" s="4">
        <v>46081</v>
      </c>
      <c r="C141" s="1" t="s">
        <v>19</v>
      </c>
      <c r="D141" s="1" t="s">
        <v>54</v>
      </c>
      <c r="E141" s="5">
        <v>18000</v>
      </c>
      <c r="F141" s="1">
        <v>0</v>
      </c>
      <c r="G141" s="4">
        <v>46082</v>
      </c>
      <c r="H141" s="4">
        <v>46083</v>
      </c>
      <c r="I141" s="4">
        <v>46086</v>
      </c>
      <c r="J141" s="4"/>
      <c r="K141" s="1" t="s">
        <v>55</v>
      </c>
      <c r="L141" s="1" t="str">
        <f t="shared" si="2"/>
        <v>Online</v>
      </c>
      <c r="M141" s="1"/>
      <c r="N141" s="1"/>
      <c r="O141" s="1"/>
      <c r="P141" s="1"/>
      <c r="Q141" s="1"/>
      <c r="R141" s="1"/>
      <c r="S141" s="1"/>
    </row>
    <row r="142" spans="1:19" ht="23" customHeight="1">
      <c r="A142" s="1" t="s">
        <v>199</v>
      </c>
      <c r="B142" s="4">
        <v>46071</v>
      </c>
      <c r="C142" s="1" t="s">
        <v>18</v>
      </c>
      <c r="D142" s="1" t="s">
        <v>71</v>
      </c>
      <c r="E142" s="5">
        <v>36000</v>
      </c>
      <c r="F142" s="1">
        <v>1</v>
      </c>
      <c r="G142" s="4"/>
      <c r="H142" s="4"/>
      <c r="I142" s="4"/>
      <c r="J142" s="4">
        <v>46075</v>
      </c>
      <c r="K142" s="1" t="s">
        <v>86</v>
      </c>
      <c r="L142" s="1" t="str">
        <f t="shared" si="2"/>
        <v>Branch</v>
      </c>
      <c r="M142" s="1"/>
      <c r="N142" s="1"/>
      <c r="O142" s="1"/>
      <c r="P142" s="1"/>
      <c r="Q142" s="1"/>
      <c r="R142" s="1"/>
      <c r="S142" s="1"/>
    </row>
    <row r="143" spans="1:19" ht="23" customHeight="1">
      <c r="A143" s="1" t="s">
        <v>200</v>
      </c>
      <c r="B143" s="4">
        <v>46088</v>
      </c>
      <c r="C143" s="1" t="s">
        <v>18</v>
      </c>
      <c r="D143" s="1" t="s">
        <v>71</v>
      </c>
      <c r="E143" s="5">
        <v>18000</v>
      </c>
      <c r="F143" s="1">
        <v>0</v>
      </c>
      <c r="G143" s="4">
        <v>46090</v>
      </c>
      <c r="H143" s="4">
        <v>46092</v>
      </c>
      <c r="I143" s="4">
        <v>46094</v>
      </c>
      <c r="J143" s="4"/>
      <c r="K143" s="1" t="s">
        <v>55</v>
      </c>
      <c r="L143" s="1" t="str">
        <f t="shared" si="2"/>
        <v>Branch</v>
      </c>
      <c r="M143" s="1"/>
      <c r="N143" s="1"/>
      <c r="O143" s="1"/>
      <c r="P143" s="1"/>
      <c r="Q143" s="1"/>
      <c r="R143" s="1"/>
      <c r="S143" s="1"/>
    </row>
    <row r="144" spans="1:19" ht="23" customHeight="1">
      <c r="A144" s="1" t="s">
        <v>201</v>
      </c>
      <c r="B144" s="4">
        <v>46032</v>
      </c>
      <c r="C144" s="1" t="s">
        <v>18</v>
      </c>
      <c r="D144" s="1" t="s">
        <v>62</v>
      </c>
      <c r="E144" s="5">
        <v>45000</v>
      </c>
      <c r="F144" s="1">
        <v>1</v>
      </c>
      <c r="G144" s="4">
        <v>46042</v>
      </c>
      <c r="H144" s="4">
        <v>46046</v>
      </c>
      <c r="I144" s="4">
        <v>46049</v>
      </c>
      <c r="J144" s="4"/>
      <c r="K144" s="1" t="s">
        <v>63</v>
      </c>
      <c r="L144" s="1" t="str">
        <f t="shared" si="2"/>
        <v>Branch</v>
      </c>
      <c r="M144" s="1"/>
      <c r="N144" s="1"/>
      <c r="O144" s="1"/>
      <c r="P144" s="1"/>
      <c r="Q144" s="1"/>
      <c r="R144" s="1"/>
      <c r="S144" s="1"/>
    </row>
    <row r="145" spans="1:19" ht="23" customHeight="1">
      <c r="A145" s="1" t="s">
        <v>202</v>
      </c>
      <c r="B145" s="4">
        <v>46087</v>
      </c>
      <c r="C145" s="1" t="s">
        <v>18</v>
      </c>
      <c r="D145" s="1" t="s">
        <v>59</v>
      </c>
      <c r="E145" s="5">
        <v>38000</v>
      </c>
      <c r="F145" s="1">
        <v>1</v>
      </c>
      <c r="G145" s="4">
        <v>46091</v>
      </c>
      <c r="H145" s="4">
        <v>46095</v>
      </c>
      <c r="I145" s="4">
        <v>46098</v>
      </c>
      <c r="J145" s="4"/>
      <c r="K145" s="1" t="s">
        <v>55</v>
      </c>
      <c r="L145" s="1" t="str">
        <f t="shared" si="2"/>
        <v>Branch</v>
      </c>
      <c r="M145" s="1"/>
      <c r="N145" s="1"/>
      <c r="O145" s="1"/>
      <c r="P145" s="1"/>
      <c r="Q145" s="1"/>
      <c r="R145" s="1"/>
      <c r="S145" s="1"/>
    </row>
    <row r="146" spans="1:19" ht="23" customHeight="1">
      <c r="A146" s="1" t="s">
        <v>203</v>
      </c>
      <c r="B146" s="4">
        <v>46086</v>
      </c>
      <c r="C146" s="1" t="s">
        <v>18</v>
      </c>
      <c r="D146" s="1" t="s">
        <v>62</v>
      </c>
      <c r="E146" s="5">
        <v>28000</v>
      </c>
      <c r="F146" s="1">
        <v>0</v>
      </c>
      <c r="G146" s="4">
        <v>46088</v>
      </c>
      <c r="H146" s="4">
        <v>46096</v>
      </c>
      <c r="I146" s="4">
        <v>46098</v>
      </c>
      <c r="J146" s="4"/>
      <c r="K146" s="1" t="s">
        <v>55</v>
      </c>
      <c r="L146" s="1" t="str">
        <f t="shared" si="2"/>
        <v>Branch</v>
      </c>
      <c r="M146" s="1"/>
      <c r="N146" s="1"/>
      <c r="O146" s="1"/>
      <c r="P146" s="1"/>
      <c r="Q146" s="1"/>
      <c r="R146" s="1"/>
      <c r="S146" s="1"/>
    </row>
    <row r="147" spans="1:19" ht="23" customHeight="1">
      <c r="A147" s="1" t="s">
        <v>204</v>
      </c>
      <c r="B147" s="4">
        <v>46094</v>
      </c>
      <c r="C147" s="1" t="s">
        <v>18</v>
      </c>
      <c r="D147" s="1" t="s">
        <v>65</v>
      </c>
      <c r="E147" s="5">
        <v>13000</v>
      </c>
      <c r="F147" s="1">
        <v>0</v>
      </c>
      <c r="G147" s="4">
        <v>46094</v>
      </c>
      <c r="H147" s="4">
        <v>46099</v>
      </c>
      <c r="I147" s="4">
        <v>46100</v>
      </c>
      <c r="J147" s="4"/>
      <c r="K147" s="1" t="s">
        <v>55</v>
      </c>
      <c r="L147" s="1" t="str">
        <f t="shared" si="2"/>
        <v>Branch</v>
      </c>
      <c r="M147" s="1"/>
      <c r="N147" s="1"/>
      <c r="O147" s="1"/>
      <c r="P147" s="1"/>
      <c r="Q147" s="1"/>
      <c r="R147" s="1"/>
      <c r="S147" s="1"/>
    </row>
    <row r="148" spans="1:19" ht="23" customHeight="1">
      <c r="A148" s="1" t="s">
        <v>205</v>
      </c>
      <c r="B148" s="4">
        <v>46050</v>
      </c>
      <c r="C148" s="1" t="s">
        <v>18</v>
      </c>
      <c r="D148" s="1" t="s">
        <v>71</v>
      </c>
      <c r="E148" s="5">
        <v>44000</v>
      </c>
      <c r="F148" s="1">
        <v>0</v>
      </c>
      <c r="G148" s="4">
        <v>46050</v>
      </c>
      <c r="H148" s="4">
        <v>46055</v>
      </c>
      <c r="I148" s="4">
        <v>46058</v>
      </c>
      <c r="J148" s="4"/>
      <c r="K148" s="1" t="s">
        <v>63</v>
      </c>
      <c r="L148" s="1" t="str">
        <f t="shared" si="2"/>
        <v>Branch</v>
      </c>
      <c r="M148" s="1"/>
      <c r="N148" s="1"/>
      <c r="O148" s="1"/>
      <c r="P148" s="1"/>
      <c r="Q148" s="1"/>
      <c r="R148" s="1"/>
      <c r="S148" s="1"/>
    </row>
    <row r="149" spans="1:19" ht="23" customHeight="1">
      <c r="A149" s="1" t="s">
        <v>206</v>
      </c>
      <c r="B149" s="4">
        <v>46047</v>
      </c>
      <c r="C149" s="1" t="s">
        <v>18</v>
      </c>
      <c r="D149" s="1" t="s">
        <v>65</v>
      </c>
      <c r="E149" s="5">
        <v>19000</v>
      </c>
      <c r="F149" s="1">
        <v>0</v>
      </c>
      <c r="G149" s="4">
        <v>46048</v>
      </c>
      <c r="H149" s="4">
        <v>46051</v>
      </c>
      <c r="I149" s="4">
        <v>46052</v>
      </c>
      <c r="J149" s="4"/>
      <c r="K149" s="1" t="s">
        <v>55</v>
      </c>
      <c r="L149" s="1" t="str">
        <f t="shared" si="2"/>
        <v>Branch</v>
      </c>
      <c r="M149" s="1"/>
      <c r="N149" s="1"/>
      <c r="O149" s="1"/>
      <c r="P149" s="1"/>
      <c r="Q149" s="1"/>
      <c r="R149" s="1"/>
      <c r="S149" s="1"/>
    </row>
    <row r="150" spans="1:19" ht="23" customHeight="1">
      <c r="A150" s="1" t="s">
        <v>207</v>
      </c>
      <c r="B150" s="4">
        <v>46032</v>
      </c>
      <c r="C150" s="1" t="s">
        <v>19</v>
      </c>
      <c r="D150" s="1" t="s">
        <v>54</v>
      </c>
      <c r="E150" s="5">
        <v>6000</v>
      </c>
      <c r="F150" s="1">
        <v>1</v>
      </c>
      <c r="G150" s="4">
        <v>46036</v>
      </c>
      <c r="H150" s="4">
        <v>46041</v>
      </c>
      <c r="I150" s="4">
        <v>46042</v>
      </c>
      <c r="J150" s="4"/>
      <c r="K150" s="1" t="s">
        <v>55</v>
      </c>
      <c r="L150" s="1" t="str">
        <f t="shared" si="2"/>
        <v>Online</v>
      </c>
      <c r="M150" s="1"/>
      <c r="N150" s="1"/>
      <c r="O150" s="1"/>
      <c r="P150" s="1"/>
      <c r="Q150" s="1"/>
      <c r="R150" s="1"/>
      <c r="S150" s="1"/>
    </row>
    <row r="151" spans="1:19" ht="23" customHeight="1">
      <c r="A151" s="1" t="s">
        <v>208</v>
      </c>
      <c r="B151" s="4">
        <v>46063</v>
      </c>
      <c r="C151" s="1" t="s">
        <v>19</v>
      </c>
      <c r="D151" s="1" t="s">
        <v>54</v>
      </c>
      <c r="E151" s="5">
        <v>23000</v>
      </c>
      <c r="F151" s="1">
        <v>1</v>
      </c>
      <c r="G151" s="4">
        <v>46072</v>
      </c>
      <c r="H151" s="4">
        <v>46077</v>
      </c>
      <c r="I151" s="4">
        <v>46078</v>
      </c>
      <c r="J151" s="4"/>
      <c r="K151" s="1" t="s">
        <v>55</v>
      </c>
      <c r="L151" s="1" t="str">
        <f t="shared" si="2"/>
        <v>Online</v>
      </c>
      <c r="M151" s="1"/>
      <c r="N151" s="1"/>
      <c r="O151" s="1"/>
      <c r="P151" s="1"/>
      <c r="Q151" s="1"/>
      <c r="R151" s="1"/>
      <c r="S151" s="1"/>
    </row>
    <row r="152" spans="1:19" ht="23" customHeight="1">
      <c r="A152" s="1" t="s">
        <v>209</v>
      </c>
      <c r="B152" s="4">
        <v>46040</v>
      </c>
      <c r="C152" s="1" t="s">
        <v>18</v>
      </c>
      <c r="D152" s="1" t="s">
        <v>62</v>
      </c>
      <c r="E152" s="5">
        <v>29000</v>
      </c>
      <c r="F152" s="1">
        <v>0</v>
      </c>
      <c r="G152" s="4">
        <v>46040</v>
      </c>
      <c r="H152" s="4">
        <v>46047</v>
      </c>
      <c r="I152" s="4">
        <v>46048</v>
      </c>
      <c r="J152" s="4"/>
      <c r="K152" s="1" t="s">
        <v>55</v>
      </c>
      <c r="L152" s="1" t="str">
        <f t="shared" si="2"/>
        <v>Branch</v>
      </c>
      <c r="M152" s="1"/>
      <c r="N152" s="1"/>
      <c r="O152" s="1"/>
      <c r="P152" s="1"/>
      <c r="Q152" s="1"/>
      <c r="R152" s="1"/>
      <c r="S152" s="1"/>
    </row>
    <row r="153" spans="1:19" ht="23" customHeight="1">
      <c r="A153" s="1" t="s">
        <v>210</v>
      </c>
      <c r="B153" s="4">
        <v>46074</v>
      </c>
      <c r="C153" s="1" t="s">
        <v>18</v>
      </c>
      <c r="D153" s="1" t="s">
        <v>65</v>
      </c>
      <c r="E153" s="5">
        <v>35000</v>
      </c>
      <c r="F153" s="1">
        <v>0</v>
      </c>
      <c r="G153" s="4">
        <v>46075</v>
      </c>
      <c r="H153" s="4">
        <v>46079</v>
      </c>
      <c r="I153" s="4">
        <v>46080</v>
      </c>
      <c r="J153" s="4"/>
      <c r="K153" s="1" t="s">
        <v>55</v>
      </c>
      <c r="L153" s="1" t="str">
        <f t="shared" si="2"/>
        <v>Branch</v>
      </c>
      <c r="M153" s="1"/>
      <c r="N153" s="1"/>
      <c r="O153" s="1"/>
      <c r="P153" s="1"/>
      <c r="Q153" s="1"/>
      <c r="R153" s="1"/>
      <c r="S153" s="1"/>
    </row>
    <row r="154" spans="1:19" ht="23" customHeight="1">
      <c r="A154" s="1" t="s">
        <v>211</v>
      </c>
      <c r="B154" s="4">
        <v>46077</v>
      </c>
      <c r="C154" s="1" t="s">
        <v>19</v>
      </c>
      <c r="D154" s="1" t="s">
        <v>54</v>
      </c>
      <c r="E154" s="5">
        <v>16000</v>
      </c>
      <c r="F154" s="1">
        <v>1</v>
      </c>
      <c r="G154" s="4">
        <v>46085</v>
      </c>
      <c r="H154" s="4">
        <v>46091</v>
      </c>
      <c r="I154" s="4">
        <v>46093</v>
      </c>
      <c r="J154" s="4"/>
      <c r="K154" s="1" t="s">
        <v>63</v>
      </c>
      <c r="L154" s="1" t="str">
        <f t="shared" si="2"/>
        <v>Online</v>
      </c>
      <c r="M154" s="1"/>
      <c r="N154" s="1"/>
      <c r="O154" s="1"/>
      <c r="P154" s="1"/>
      <c r="Q154" s="1"/>
      <c r="R154" s="1"/>
      <c r="S154" s="1"/>
    </row>
    <row r="155" spans="1:19" ht="23" customHeight="1">
      <c r="A155" s="1" t="s">
        <v>212</v>
      </c>
      <c r="B155" s="4">
        <v>46083</v>
      </c>
      <c r="C155" s="1" t="s">
        <v>19</v>
      </c>
      <c r="D155" s="1" t="s">
        <v>54</v>
      </c>
      <c r="E155" s="5">
        <v>6000</v>
      </c>
      <c r="F155" s="1">
        <v>0</v>
      </c>
      <c r="G155" s="4">
        <v>46085</v>
      </c>
      <c r="H155" s="4">
        <v>46086</v>
      </c>
      <c r="I155" s="4">
        <v>46087</v>
      </c>
      <c r="J155" s="4"/>
      <c r="K155" s="1" t="s">
        <v>63</v>
      </c>
      <c r="L155" s="1" t="str">
        <f t="shared" si="2"/>
        <v>Online</v>
      </c>
      <c r="M155" s="1"/>
      <c r="N155" s="1"/>
      <c r="O155" s="1"/>
      <c r="P155" s="1"/>
      <c r="Q155" s="1"/>
      <c r="R155" s="1"/>
      <c r="S155" s="1"/>
    </row>
    <row r="156" spans="1:19" ht="23" customHeight="1">
      <c r="A156" s="1" t="s">
        <v>213</v>
      </c>
      <c r="B156" s="4">
        <v>46053</v>
      </c>
      <c r="C156" s="1" t="s">
        <v>18</v>
      </c>
      <c r="D156" s="1" t="s">
        <v>65</v>
      </c>
      <c r="E156" s="5">
        <v>35000</v>
      </c>
      <c r="F156" s="1">
        <v>0</v>
      </c>
      <c r="G156" s="4">
        <v>46055</v>
      </c>
      <c r="H156" s="4">
        <v>46060</v>
      </c>
      <c r="I156" s="4">
        <v>46061</v>
      </c>
      <c r="J156" s="4"/>
      <c r="K156" s="1" t="s">
        <v>55</v>
      </c>
      <c r="L156" s="1" t="str">
        <f t="shared" si="2"/>
        <v>Branch</v>
      </c>
      <c r="M156" s="1"/>
      <c r="N156" s="1"/>
      <c r="O156" s="1"/>
      <c r="P156" s="1"/>
      <c r="Q156" s="1"/>
      <c r="R156" s="1"/>
      <c r="S156" s="1"/>
    </row>
    <row r="157" spans="1:19" ht="23" customHeight="1">
      <c r="A157" s="1" t="s">
        <v>214</v>
      </c>
      <c r="B157" s="4">
        <v>46054</v>
      </c>
      <c r="C157" s="1" t="s">
        <v>19</v>
      </c>
      <c r="D157" s="1" t="s">
        <v>54</v>
      </c>
      <c r="E157" s="5">
        <v>10000</v>
      </c>
      <c r="F157" s="1">
        <v>1</v>
      </c>
      <c r="G157" s="4"/>
      <c r="H157" s="4"/>
      <c r="I157" s="4"/>
      <c r="J157" s="4">
        <v>46061</v>
      </c>
      <c r="K157" s="1" t="s">
        <v>86</v>
      </c>
      <c r="L157" s="1" t="str">
        <f t="shared" si="2"/>
        <v>Online</v>
      </c>
      <c r="M157" s="1"/>
      <c r="N157" s="1"/>
      <c r="O157" s="1"/>
      <c r="P157" s="1"/>
      <c r="Q157" s="1"/>
      <c r="R157" s="1"/>
      <c r="S157" s="1"/>
    </row>
    <row r="158" spans="1:19" ht="23" customHeight="1">
      <c r="A158" s="1" t="s">
        <v>215</v>
      </c>
      <c r="B158" s="4">
        <v>46042</v>
      </c>
      <c r="C158" s="1" t="s">
        <v>18</v>
      </c>
      <c r="D158" s="1" t="s">
        <v>65</v>
      </c>
      <c r="E158" s="5">
        <v>30000</v>
      </c>
      <c r="F158" s="1">
        <v>0</v>
      </c>
      <c r="G158" s="4">
        <v>46044</v>
      </c>
      <c r="H158" s="4">
        <v>46050</v>
      </c>
      <c r="I158" s="4">
        <v>46053</v>
      </c>
      <c r="J158" s="4"/>
      <c r="K158" s="1" t="s">
        <v>55</v>
      </c>
      <c r="L158" s="1" t="str">
        <f t="shared" si="2"/>
        <v>Branch</v>
      </c>
      <c r="M158" s="1"/>
      <c r="N158" s="1"/>
      <c r="O158" s="1"/>
      <c r="P158" s="1"/>
      <c r="Q158" s="1"/>
      <c r="R158" s="1"/>
      <c r="S158" s="1"/>
    </row>
    <row r="159" spans="1:19" ht="23" customHeight="1">
      <c r="A159" s="1" t="s">
        <v>216</v>
      </c>
      <c r="B159" s="4">
        <v>46035</v>
      </c>
      <c r="C159" s="1" t="s">
        <v>19</v>
      </c>
      <c r="D159" s="1" t="s">
        <v>54</v>
      </c>
      <c r="E159" s="5">
        <v>46000</v>
      </c>
      <c r="F159" s="1">
        <v>1</v>
      </c>
      <c r="G159" s="4">
        <v>46043</v>
      </c>
      <c r="H159" s="4">
        <v>46047</v>
      </c>
      <c r="I159" s="4">
        <v>46049</v>
      </c>
      <c r="J159" s="4"/>
      <c r="K159" s="1" t="s">
        <v>55</v>
      </c>
      <c r="L159" s="1" t="str">
        <f t="shared" si="2"/>
        <v>Online</v>
      </c>
      <c r="M159" s="1"/>
      <c r="N159" s="1"/>
      <c r="O159" s="1"/>
      <c r="P159" s="1"/>
      <c r="Q159" s="1"/>
      <c r="R159" s="1"/>
      <c r="S159" s="1"/>
    </row>
    <row r="160" spans="1:19" ht="23" customHeight="1">
      <c r="A160" s="1" t="s">
        <v>217</v>
      </c>
      <c r="B160" s="4">
        <v>46102</v>
      </c>
      <c r="C160" s="1" t="s">
        <v>19</v>
      </c>
      <c r="D160" s="1" t="s">
        <v>54</v>
      </c>
      <c r="E160" s="5">
        <v>34000</v>
      </c>
      <c r="F160" s="1">
        <v>1</v>
      </c>
      <c r="G160" s="4">
        <v>46106</v>
      </c>
      <c r="H160" s="4">
        <v>46109</v>
      </c>
      <c r="I160" s="4">
        <v>46110</v>
      </c>
      <c r="J160" s="4"/>
      <c r="K160" s="1" t="s">
        <v>55</v>
      </c>
      <c r="L160" s="1" t="str">
        <f t="shared" si="2"/>
        <v>Online</v>
      </c>
      <c r="M160" s="1"/>
      <c r="N160" s="1"/>
      <c r="O160" s="1"/>
      <c r="P160" s="1"/>
      <c r="Q160" s="1"/>
      <c r="R160" s="1"/>
      <c r="S160" s="1"/>
    </row>
    <row r="161" spans="1:19" ht="23" customHeight="1">
      <c r="A161" s="1" t="s">
        <v>218</v>
      </c>
      <c r="B161" s="4">
        <v>46066</v>
      </c>
      <c r="C161" s="1" t="s">
        <v>18</v>
      </c>
      <c r="D161" s="1" t="s">
        <v>71</v>
      </c>
      <c r="E161" s="5">
        <v>14000</v>
      </c>
      <c r="F161" s="1">
        <v>1</v>
      </c>
      <c r="G161" s="4">
        <v>46073</v>
      </c>
      <c r="H161" s="4">
        <v>46078</v>
      </c>
      <c r="I161" s="4">
        <v>46079</v>
      </c>
      <c r="J161" s="4"/>
      <c r="K161" s="1" t="s">
        <v>55</v>
      </c>
      <c r="L161" s="1" t="str">
        <f t="shared" si="2"/>
        <v>Branch</v>
      </c>
      <c r="M161" s="1"/>
      <c r="N161" s="1"/>
      <c r="O161" s="1"/>
      <c r="P161" s="1"/>
      <c r="Q161" s="1"/>
      <c r="R161" s="1"/>
      <c r="S161" s="1"/>
    </row>
    <row r="162" spans="1:19" ht="23" customHeight="1">
      <c r="A162" s="1" t="s">
        <v>219</v>
      </c>
      <c r="B162" s="4">
        <v>46044</v>
      </c>
      <c r="C162" s="1" t="s">
        <v>19</v>
      </c>
      <c r="D162" s="1" t="s">
        <v>54</v>
      </c>
      <c r="E162" s="5">
        <v>31000</v>
      </c>
      <c r="F162" s="1">
        <v>0</v>
      </c>
      <c r="G162" s="4">
        <v>46045</v>
      </c>
      <c r="H162" s="4">
        <v>46047</v>
      </c>
      <c r="I162" s="4">
        <v>46048</v>
      </c>
      <c r="J162" s="4"/>
      <c r="K162" s="1" t="s">
        <v>55</v>
      </c>
      <c r="L162" s="1" t="str">
        <f t="shared" si="2"/>
        <v>Online</v>
      </c>
      <c r="M162" s="1"/>
      <c r="N162" s="1"/>
      <c r="O162" s="1"/>
      <c r="P162" s="1"/>
      <c r="Q162" s="1"/>
      <c r="R162" s="1"/>
      <c r="S162" s="1"/>
    </row>
    <row r="163" spans="1:19" ht="23" customHeight="1">
      <c r="A163" s="1" t="s">
        <v>220</v>
      </c>
      <c r="B163" s="4">
        <v>46033</v>
      </c>
      <c r="C163" s="1" t="s">
        <v>19</v>
      </c>
      <c r="D163" s="1" t="s">
        <v>54</v>
      </c>
      <c r="E163" s="5">
        <v>38000</v>
      </c>
      <c r="F163" s="1">
        <v>0</v>
      </c>
      <c r="G163" s="4">
        <v>46034</v>
      </c>
      <c r="H163" s="4">
        <v>46037</v>
      </c>
      <c r="I163" s="4">
        <v>46038</v>
      </c>
      <c r="J163" s="4"/>
      <c r="K163" s="1" t="s">
        <v>55</v>
      </c>
      <c r="L163" s="1" t="str">
        <f t="shared" si="2"/>
        <v>Online</v>
      </c>
      <c r="M163" s="1"/>
      <c r="N163" s="1"/>
      <c r="O163" s="1"/>
      <c r="P163" s="1"/>
      <c r="Q163" s="1"/>
      <c r="R163" s="1"/>
      <c r="S163" s="1"/>
    </row>
    <row r="164" spans="1:19" ht="23" customHeight="1">
      <c r="A164" s="1" t="s">
        <v>221</v>
      </c>
      <c r="B164" s="4">
        <v>46037</v>
      </c>
      <c r="C164" s="1" t="s">
        <v>19</v>
      </c>
      <c r="D164" s="1" t="s">
        <v>54</v>
      </c>
      <c r="E164" s="5">
        <v>15000</v>
      </c>
      <c r="F164" s="1">
        <v>1</v>
      </c>
      <c r="G164" s="4"/>
      <c r="H164" s="4"/>
      <c r="I164" s="4"/>
      <c r="J164" s="4">
        <v>46039</v>
      </c>
      <c r="K164" s="1" t="s">
        <v>86</v>
      </c>
      <c r="L164" s="1" t="str">
        <f t="shared" si="2"/>
        <v>Online</v>
      </c>
      <c r="M164" s="1"/>
      <c r="N164" s="1"/>
      <c r="O164" s="1"/>
      <c r="P164" s="1"/>
      <c r="Q164" s="1"/>
      <c r="R164" s="1"/>
      <c r="S164" s="1"/>
    </row>
    <row r="165" spans="1:19" ht="23" customHeight="1">
      <c r="A165" s="1" t="s">
        <v>222</v>
      </c>
      <c r="B165" s="4">
        <v>46107</v>
      </c>
      <c r="C165" s="1" t="s">
        <v>19</v>
      </c>
      <c r="D165" s="1" t="s">
        <v>54</v>
      </c>
      <c r="E165" s="5">
        <v>6000</v>
      </c>
      <c r="F165" s="1">
        <v>0</v>
      </c>
      <c r="G165" s="4">
        <v>46108</v>
      </c>
      <c r="H165" s="4">
        <v>46112</v>
      </c>
      <c r="I165" s="4"/>
      <c r="J165" s="4"/>
      <c r="K165" s="1" t="s">
        <v>69</v>
      </c>
      <c r="L165" s="1" t="str">
        <f t="shared" si="2"/>
        <v>Online</v>
      </c>
      <c r="M165" s="1"/>
      <c r="N165" s="1"/>
      <c r="O165" s="1"/>
      <c r="P165" s="1"/>
      <c r="Q165" s="1"/>
      <c r="R165" s="1"/>
      <c r="S165" s="1"/>
    </row>
    <row r="166" spans="1:19" ht="23" customHeight="1">
      <c r="A166" s="1" t="s">
        <v>223</v>
      </c>
      <c r="B166" s="4">
        <v>46034</v>
      </c>
      <c r="C166" s="1" t="s">
        <v>18</v>
      </c>
      <c r="D166" s="1" t="s">
        <v>71</v>
      </c>
      <c r="E166" s="5">
        <v>12000</v>
      </c>
      <c r="F166" s="1">
        <v>0</v>
      </c>
      <c r="G166" s="4">
        <v>46036</v>
      </c>
      <c r="H166" s="4">
        <v>46041</v>
      </c>
      <c r="I166" s="4">
        <v>46042</v>
      </c>
      <c r="J166" s="4"/>
      <c r="K166" s="1" t="s">
        <v>55</v>
      </c>
      <c r="L166" s="1" t="str">
        <f t="shared" si="2"/>
        <v>Branch</v>
      </c>
      <c r="M166" s="1"/>
      <c r="N166" s="1"/>
      <c r="O166" s="1"/>
      <c r="P166" s="1"/>
      <c r="Q166" s="1"/>
      <c r="R166" s="1"/>
      <c r="S166" s="1"/>
    </row>
    <row r="167" spans="1:19" ht="23" customHeight="1">
      <c r="A167" s="1" t="s">
        <v>224</v>
      </c>
      <c r="B167" s="4">
        <v>46044</v>
      </c>
      <c r="C167" s="1" t="s">
        <v>19</v>
      </c>
      <c r="D167" s="1" t="s">
        <v>54</v>
      </c>
      <c r="E167" s="5">
        <v>29000</v>
      </c>
      <c r="F167" s="1">
        <v>1</v>
      </c>
      <c r="G167" s="4"/>
      <c r="H167" s="4"/>
      <c r="I167" s="4"/>
      <c r="J167" s="4">
        <v>46045</v>
      </c>
      <c r="K167" s="1" t="s">
        <v>86</v>
      </c>
      <c r="L167" s="1" t="str">
        <f t="shared" si="2"/>
        <v>Online</v>
      </c>
      <c r="M167" s="1"/>
      <c r="N167" s="1"/>
      <c r="O167" s="1"/>
      <c r="P167" s="1"/>
      <c r="Q167" s="1"/>
      <c r="R167" s="1"/>
      <c r="S167" s="1"/>
    </row>
    <row r="168" spans="1:19" ht="23" customHeight="1">
      <c r="A168" s="1" t="s">
        <v>225</v>
      </c>
      <c r="B168" s="4">
        <v>46049</v>
      </c>
      <c r="C168" s="1" t="s">
        <v>18</v>
      </c>
      <c r="D168" s="1" t="s">
        <v>65</v>
      </c>
      <c r="E168" s="5">
        <v>32000</v>
      </c>
      <c r="F168" s="1">
        <v>1</v>
      </c>
      <c r="G168" s="4">
        <v>46052</v>
      </c>
      <c r="H168" s="4">
        <v>46056</v>
      </c>
      <c r="I168" s="4">
        <v>46059</v>
      </c>
      <c r="J168" s="4"/>
      <c r="K168" s="1" t="s">
        <v>55</v>
      </c>
      <c r="L168" s="1" t="str">
        <f t="shared" si="2"/>
        <v>Branch</v>
      </c>
      <c r="M168" s="1"/>
      <c r="N168" s="1"/>
      <c r="O168" s="1"/>
      <c r="P168" s="1"/>
      <c r="Q168" s="1"/>
      <c r="R168" s="1"/>
      <c r="S168" s="1"/>
    </row>
    <row r="169" spans="1:19" ht="23" customHeight="1">
      <c r="A169" s="1" t="s">
        <v>226</v>
      </c>
      <c r="B169" s="4">
        <v>46100</v>
      </c>
      <c r="C169" s="1" t="s">
        <v>18</v>
      </c>
      <c r="D169" s="1" t="s">
        <v>62</v>
      </c>
      <c r="E169" s="5">
        <v>12000</v>
      </c>
      <c r="F169" s="1">
        <v>1</v>
      </c>
      <c r="G169" s="4">
        <v>46110</v>
      </c>
      <c r="H169" s="4"/>
      <c r="I169" s="4"/>
      <c r="J169" s="4"/>
      <c r="K169" s="1" t="s">
        <v>69</v>
      </c>
      <c r="L169" s="1" t="str">
        <f t="shared" si="2"/>
        <v>Branch</v>
      </c>
      <c r="M169" s="1"/>
      <c r="N169" s="1"/>
      <c r="O169" s="1"/>
      <c r="P169" s="1"/>
      <c r="Q169" s="1"/>
      <c r="R169" s="1"/>
      <c r="S169" s="1"/>
    </row>
    <row r="170" spans="1:19" ht="23" customHeight="1">
      <c r="A170" s="1" t="s">
        <v>227</v>
      </c>
      <c r="B170" s="4">
        <v>46105</v>
      </c>
      <c r="C170" s="1" t="s">
        <v>19</v>
      </c>
      <c r="D170" s="1" t="s">
        <v>54</v>
      </c>
      <c r="E170" s="5">
        <v>18000</v>
      </c>
      <c r="F170" s="1">
        <v>0</v>
      </c>
      <c r="G170" s="4">
        <v>46106</v>
      </c>
      <c r="H170" s="4">
        <v>46111</v>
      </c>
      <c r="I170" s="4"/>
      <c r="J170" s="4"/>
      <c r="K170" s="1" t="s">
        <v>69</v>
      </c>
      <c r="L170" s="1" t="str">
        <f t="shared" si="2"/>
        <v>Online</v>
      </c>
      <c r="M170" s="1"/>
      <c r="N170" s="1"/>
      <c r="O170" s="1"/>
      <c r="P170" s="1"/>
      <c r="Q170" s="1"/>
      <c r="R170" s="1"/>
      <c r="S170" s="1"/>
    </row>
    <row r="171" spans="1:19" ht="23" customHeight="1">
      <c r="A171" s="1" t="s">
        <v>228</v>
      </c>
      <c r="B171" s="4">
        <v>46071</v>
      </c>
      <c r="C171" s="1" t="s">
        <v>18</v>
      </c>
      <c r="D171" s="1" t="s">
        <v>59</v>
      </c>
      <c r="E171" s="5">
        <v>47000</v>
      </c>
      <c r="F171" s="1">
        <v>1</v>
      </c>
      <c r="G171" s="4">
        <v>46077</v>
      </c>
      <c r="H171" s="4">
        <v>46082</v>
      </c>
      <c r="I171" s="4">
        <v>46083</v>
      </c>
      <c r="J171" s="4"/>
      <c r="K171" s="1" t="s">
        <v>55</v>
      </c>
      <c r="L171" s="1" t="str">
        <f t="shared" si="2"/>
        <v>Branch</v>
      </c>
      <c r="M171" s="1"/>
      <c r="N171" s="1"/>
      <c r="O171" s="1"/>
      <c r="P171" s="1"/>
      <c r="Q171" s="1"/>
      <c r="R171" s="1"/>
      <c r="S171" s="1"/>
    </row>
    <row r="172" spans="1:19" ht="23" customHeight="1">
      <c r="A172" s="1" t="s">
        <v>229</v>
      </c>
      <c r="B172" s="4">
        <v>46025</v>
      </c>
      <c r="C172" s="1" t="s">
        <v>18</v>
      </c>
      <c r="D172" s="1" t="s">
        <v>71</v>
      </c>
      <c r="E172" s="5">
        <v>12000</v>
      </c>
      <c r="F172" s="1">
        <v>1</v>
      </c>
      <c r="G172" s="4">
        <v>46028</v>
      </c>
      <c r="H172" s="4">
        <v>46029</v>
      </c>
      <c r="I172" s="4">
        <v>46030</v>
      </c>
      <c r="J172" s="4"/>
      <c r="K172" s="1" t="s">
        <v>55</v>
      </c>
      <c r="L172" s="1" t="str">
        <f t="shared" si="2"/>
        <v>Branch</v>
      </c>
      <c r="M172" s="1"/>
      <c r="N172" s="1"/>
      <c r="O172" s="1"/>
      <c r="P172" s="1"/>
      <c r="Q172" s="1"/>
      <c r="R172" s="1"/>
      <c r="S172" s="1"/>
    </row>
    <row r="173" spans="1:19" ht="23" customHeight="1">
      <c r="A173" s="1" t="s">
        <v>230</v>
      </c>
      <c r="B173" s="4">
        <v>46050</v>
      </c>
      <c r="C173" s="1" t="s">
        <v>18</v>
      </c>
      <c r="D173" s="1" t="s">
        <v>62</v>
      </c>
      <c r="E173" s="5">
        <v>24000</v>
      </c>
      <c r="F173" s="1">
        <v>0</v>
      </c>
      <c r="G173" s="4">
        <v>46050</v>
      </c>
      <c r="H173" s="4">
        <v>46054</v>
      </c>
      <c r="I173" s="4">
        <v>46056</v>
      </c>
      <c r="J173" s="4"/>
      <c r="K173" s="1" t="s">
        <v>63</v>
      </c>
      <c r="L173" s="1" t="str">
        <f t="shared" si="2"/>
        <v>Branch</v>
      </c>
      <c r="M173" s="1"/>
      <c r="N173" s="1"/>
      <c r="O173" s="1"/>
      <c r="P173" s="1"/>
      <c r="Q173" s="1"/>
      <c r="R173" s="1"/>
      <c r="S173" s="1"/>
    </row>
    <row r="174" spans="1:19" ht="23" customHeight="1">
      <c r="A174" s="1" t="s">
        <v>231</v>
      </c>
      <c r="B174" s="4">
        <v>46054</v>
      </c>
      <c r="C174" s="1" t="s">
        <v>18</v>
      </c>
      <c r="D174" s="1" t="s">
        <v>59</v>
      </c>
      <c r="E174" s="5">
        <v>21000</v>
      </c>
      <c r="F174" s="1">
        <v>1</v>
      </c>
      <c r="G174" s="4">
        <v>46063</v>
      </c>
      <c r="H174" s="4">
        <v>46067</v>
      </c>
      <c r="I174" s="4">
        <v>46069</v>
      </c>
      <c r="J174" s="4"/>
      <c r="K174" s="1" t="s">
        <v>55</v>
      </c>
      <c r="L174" s="1" t="str">
        <f t="shared" si="2"/>
        <v>Branch</v>
      </c>
      <c r="M174" s="1"/>
      <c r="N174" s="1"/>
      <c r="O174" s="1"/>
      <c r="P174" s="1"/>
      <c r="Q174" s="1"/>
      <c r="R174" s="1"/>
      <c r="S174" s="1"/>
    </row>
    <row r="175" spans="1:19" ht="23" customHeight="1">
      <c r="A175" s="1" t="s">
        <v>232</v>
      </c>
      <c r="B175" s="4">
        <v>46054</v>
      </c>
      <c r="C175" s="1" t="s">
        <v>19</v>
      </c>
      <c r="D175" s="1" t="s">
        <v>54</v>
      </c>
      <c r="E175" s="5">
        <v>11000</v>
      </c>
      <c r="F175" s="1">
        <v>0</v>
      </c>
      <c r="G175" s="4">
        <v>46054</v>
      </c>
      <c r="H175" s="4">
        <v>46055</v>
      </c>
      <c r="I175" s="4">
        <v>46058</v>
      </c>
      <c r="J175" s="4"/>
      <c r="K175" s="1" t="s">
        <v>55</v>
      </c>
      <c r="L175" s="1" t="str">
        <f t="shared" si="2"/>
        <v>Online</v>
      </c>
      <c r="M175" s="1"/>
      <c r="N175" s="1"/>
      <c r="O175" s="1"/>
      <c r="P175" s="1"/>
      <c r="Q175" s="1"/>
      <c r="R175" s="1"/>
      <c r="S175" s="1"/>
    </row>
    <row r="176" spans="1:19" ht="23" customHeight="1">
      <c r="A176" s="1" t="s">
        <v>233</v>
      </c>
      <c r="B176" s="4">
        <v>46065</v>
      </c>
      <c r="C176" s="1" t="s">
        <v>19</v>
      </c>
      <c r="D176" s="1" t="s">
        <v>54</v>
      </c>
      <c r="E176" s="5">
        <v>38000</v>
      </c>
      <c r="F176" s="1">
        <v>0</v>
      </c>
      <c r="G176" s="4">
        <v>46066</v>
      </c>
      <c r="H176" s="4">
        <v>46071</v>
      </c>
      <c r="I176" s="4">
        <v>46073</v>
      </c>
      <c r="J176" s="4"/>
      <c r="K176" s="1" t="s">
        <v>63</v>
      </c>
      <c r="L176" s="1" t="str">
        <f t="shared" si="2"/>
        <v>Online</v>
      </c>
      <c r="M176" s="1"/>
      <c r="N176" s="1"/>
      <c r="O176" s="1"/>
      <c r="P176" s="1"/>
      <c r="Q176" s="1"/>
      <c r="R176" s="1"/>
      <c r="S176" s="1"/>
    </row>
    <row r="177" spans="1:19" ht="23" customHeight="1">
      <c r="A177" s="1" t="s">
        <v>234</v>
      </c>
      <c r="B177" s="4">
        <v>46109</v>
      </c>
      <c r="C177" s="1" t="s">
        <v>18</v>
      </c>
      <c r="D177" s="1" t="s">
        <v>71</v>
      </c>
      <c r="E177" s="5">
        <v>6000</v>
      </c>
      <c r="F177" s="1">
        <v>0</v>
      </c>
      <c r="G177" s="4">
        <v>46109</v>
      </c>
      <c r="H177" s="4">
        <v>46110</v>
      </c>
      <c r="I177" s="4">
        <v>46111</v>
      </c>
      <c r="J177" s="4"/>
      <c r="K177" s="1" t="s">
        <v>63</v>
      </c>
      <c r="L177" s="1" t="str">
        <f t="shared" si="2"/>
        <v>Branch</v>
      </c>
      <c r="M177" s="1"/>
      <c r="N177" s="1"/>
      <c r="O177" s="1"/>
      <c r="P177" s="1"/>
      <c r="Q177" s="1"/>
      <c r="R177" s="1"/>
      <c r="S177" s="1"/>
    </row>
    <row r="178" spans="1:19" ht="23" customHeight="1">
      <c r="A178" s="1" t="s">
        <v>235</v>
      </c>
      <c r="B178" s="4">
        <v>46025</v>
      </c>
      <c r="C178" s="1" t="s">
        <v>18</v>
      </c>
      <c r="D178" s="1" t="s">
        <v>71</v>
      </c>
      <c r="E178" s="5">
        <v>29000</v>
      </c>
      <c r="F178" s="1">
        <v>0</v>
      </c>
      <c r="G178" s="4">
        <v>46025</v>
      </c>
      <c r="H178" s="4">
        <v>46030</v>
      </c>
      <c r="I178" s="4">
        <v>46031</v>
      </c>
      <c r="J178" s="4"/>
      <c r="K178" s="1" t="s">
        <v>63</v>
      </c>
      <c r="L178" s="1" t="str">
        <f t="shared" si="2"/>
        <v>Branch</v>
      </c>
      <c r="M178" s="1"/>
      <c r="N178" s="1"/>
      <c r="O178" s="1"/>
      <c r="P178" s="1"/>
      <c r="Q178" s="1"/>
      <c r="R178" s="1"/>
      <c r="S178" s="1"/>
    </row>
    <row r="179" spans="1:19" ht="23" customHeight="1">
      <c r="A179" s="1" t="s">
        <v>236</v>
      </c>
      <c r="B179" s="4">
        <v>46073</v>
      </c>
      <c r="C179" s="1" t="s">
        <v>18</v>
      </c>
      <c r="D179" s="1" t="s">
        <v>62</v>
      </c>
      <c r="E179" s="5">
        <v>38000</v>
      </c>
      <c r="F179" s="1">
        <v>0</v>
      </c>
      <c r="G179" s="4">
        <v>46074</v>
      </c>
      <c r="H179" s="4">
        <v>46080</v>
      </c>
      <c r="I179" s="4">
        <v>46081</v>
      </c>
      <c r="J179" s="4"/>
      <c r="K179" s="1" t="s">
        <v>55</v>
      </c>
      <c r="L179" s="1" t="str">
        <f t="shared" si="2"/>
        <v>Branch</v>
      </c>
      <c r="M179" s="1"/>
      <c r="N179" s="1"/>
      <c r="O179" s="1"/>
      <c r="P179" s="1"/>
      <c r="Q179" s="1"/>
      <c r="R179" s="1"/>
      <c r="S179" s="1"/>
    </row>
    <row r="180" spans="1:19" ht="23" customHeight="1">
      <c r="A180" s="1" t="s">
        <v>237</v>
      </c>
      <c r="B180" s="4">
        <v>46102</v>
      </c>
      <c r="C180" s="1" t="s">
        <v>18</v>
      </c>
      <c r="D180" s="1" t="s">
        <v>59</v>
      </c>
      <c r="E180" s="5">
        <v>23000</v>
      </c>
      <c r="F180" s="1">
        <v>1</v>
      </c>
      <c r="G180" s="4">
        <v>46108</v>
      </c>
      <c r="H180" s="4"/>
      <c r="I180" s="4"/>
      <c r="J180" s="4"/>
      <c r="K180" s="1" t="s">
        <v>69</v>
      </c>
      <c r="L180" s="1" t="str">
        <f t="shared" si="2"/>
        <v>Branch</v>
      </c>
      <c r="M180" s="1"/>
      <c r="N180" s="1"/>
      <c r="O180" s="1"/>
      <c r="P180" s="1"/>
      <c r="Q180" s="1"/>
      <c r="R180" s="1"/>
      <c r="S180" s="1"/>
    </row>
    <row r="181" spans="1:19" ht="23" customHeight="1">
      <c r="A181" s="1" t="s">
        <v>238</v>
      </c>
      <c r="B181" s="4">
        <v>46076</v>
      </c>
      <c r="C181" s="1" t="s">
        <v>19</v>
      </c>
      <c r="D181" s="1" t="s">
        <v>54</v>
      </c>
      <c r="E181" s="5">
        <v>23000</v>
      </c>
      <c r="F181" s="1">
        <v>0</v>
      </c>
      <c r="G181" s="4">
        <v>46077</v>
      </c>
      <c r="H181" s="4">
        <v>46082</v>
      </c>
      <c r="I181" s="4">
        <v>46085</v>
      </c>
      <c r="J181" s="4"/>
      <c r="K181" s="1" t="s">
        <v>63</v>
      </c>
      <c r="L181" s="1" t="str">
        <f t="shared" si="2"/>
        <v>Online</v>
      </c>
      <c r="M181" s="1"/>
      <c r="N181" s="1"/>
      <c r="O181" s="1"/>
      <c r="P181" s="1"/>
      <c r="Q181" s="1"/>
      <c r="R181" s="1"/>
      <c r="S181" s="1"/>
    </row>
    <row r="182" spans="1:19" ht="23" customHeight="1">
      <c r="A182" s="1" t="s">
        <v>239</v>
      </c>
      <c r="B182" s="4">
        <v>46039</v>
      </c>
      <c r="C182" s="1" t="s">
        <v>18</v>
      </c>
      <c r="D182" s="1" t="s">
        <v>59</v>
      </c>
      <c r="E182" s="5">
        <v>38000</v>
      </c>
      <c r="F182" s="1">
        <v>1</v>
      </c>
      <c r="G182" s="4">
        <v>46046</v>
      </c>
      <c r="H182" s="4">
        <v>46048</v>
      </c>
      <c r="I182" s="4">
        <v>46050</v>
      </c>
      <c r="J182" s="4"/>
      <c r="K182" s="1" t="s">
        <v>63</v>
      </c>
      <c r="L182" s="1" t="str">
        <f t="shared" si="2"/>
        <v>Branch</v>
      </c>
      <c r="M182" s="1"/>
      <c r="N182" s="1"/>
      <c r="O182" s="1"/>
      <c r="P182" s="1"/>
      <c r="Q182" s="1"/>
      <c r="R182" s="1"/>
      <c r="S182" s="1"/>
    </row>
    <row r="183" spans="1:19" ht="23" customHeight="1">
      <c r="A183" s="1" t="s">
        <v>240</v>
      </c>
      <c r="B183" s="4">
        <v>46111</v>
      </c>
      <c r="C183" s="1" t="s">
        <v>18</v>
      </c>
      <c r="D183" s="1" t="s">
        <v>59</v>
      </c>
      <c r="E183" s="5">
        <v>47000</v>
      </c>
      <c r="F183" s="1">
        <v>0</v>
      </c>
      <c r="G183" s="4"/>
      <c r="H183" s="4"/>
      <c r="I183" s="4"/>
      <c r="J183" s="4"/>
      <c r="K183" s="1" t="s">
        <v>69</v>
      </c>
      <c r="L183" s="1" t="str">
        <f t="shared" si="2"/>
        <v>Branch</v>
      </c>
      <c r="M183" s="1"/>
      <c r="N183" s="1"/>
      <c r="O183" s="1"/>
      <c r="P183" s="1"/>
      <c r="Q183" s="1"/>
      <c r="R183" s="1"/>
      <c r="S183" s="1"/>
    </row>
    <row r="184" spans="1:19" ht="23" customHeight="1">
      <c r="A184" s="1" t="s">
        <v>241</v>
      </c>
      <c r="B184" s="4">
        <v>46052</v>
      </c>
      <c r="C184" s="1" t="s">
        <v>19</v>
      </c>
      <c r="D184" s="1" t="s">
        <v>54</v>
      </c>
      <c r="E184" s="5">
        <v>27000</v>
      </c>
      <c r="F184" s="1">
        <v>0</v>
      </c>
      <c r="G184" s="4">
        <v>46052</v>
      </c>
      <c r="H184" s="4">
        <v>46056</v>
      </c>
      <c r="I184" s="4">
        <v>46057</v>
      </c>
      <c r="J184" s="4"/>
      <c r="K184" s="1" t="s">
        <v>55</v>
      </c>
      <c r="L184" s="1" t="str">
        <f t="shared" si="2"/>
        <v>Online</v>
      </c>
      <c r="M184" s="1"/>
      <c r="N184" s="1"/>
      <c r="O184" s="1"/>
      <c r="P184" s="1"/>
      <c r="Q184" s="1"/>
      <c r="R184" s="1"/>
      <c r="S184" s="1"/>
    </row>
    <row r="185" spans="1:19" ht="23" customHeight="1">
      <c r="A185" s="1" t="s">
        <v>242</v>
      </c>
      <c r="B185" s="4">
        <v>46040</v>
      </c>
      <c r="C185" s="1" t="s">
        <v>19</v>
      </c>
      <c r="D185" s="1" t="s">
        <v>54</v>
      </c>
      <c r="E185" s="5">
        <v>9000</v>
      </c>
      <c r="F185" s="1">
        <v>1</v>
      </c>
      <c r="G185" s="4">
        <v>46050</v>
      </c>
      <c r="H185" s="4">
        <v>46051</v>
      </c>
      <c r="I185" s="4">
        <v>46052</v>
      </c>
      <c r="J185" s="4"/>
      <c r="K185" s="1" t="s">
        <v>63</v>
      </c>
      <c r="L185" s="1" t="str">
        <f t="shared" si="2"/>
        <v>Online</v>
      </c>
      <c r="M185" s="1"/>
      <c r="N185" s="1"/>
      <c r="O185" s="1"/>
      <c r="P185" s="1"/>
      <c r="Q185" s="1"/>
      <c r="R185" s="1"/>
      <c r="S185" s="1"/>
    </row>
    <row r="186" spans="1:19" ht="23" customHeight="1">
      <c r="A186" s="1" t="s">
        <v>243</v>
      </c>
      <c r="B186" s="4">
        <v>46064</v>
      </c>
      <c r="C186" s="1" t="s">
        <v>19</v>
      </c>
      <c r="D186" s="1" t="s">
        <v>54</v>
      </c>
      <c r="E186" s="5">
        <v>27000</v>
      </c>
      <c r="F186" s="1">
        <v>1</v>
      </c>
      <c r="G186" s="4">
        <v>46067</v>
      </c>
      <c r="H186" s="4">
        <v>46072</v>
      </c>
      <c r="I186" s="4">
        <v>46075</v>
      </c>
      <c r="J186" s="4"/>
      <c r="K186" s="1" t="s">
        <v>63</v>
      </c>
      <c r="L186" s="1" t="str">
        <f t="shared" si="2"/>
        <v>Online</v>
      </c>
      <c r="M186" s="1"/>
      <c r="N186" s="1"/>
      <c r="O186" s="1"/>
      <c r="P186" s="1"/>
      <c r="Q186" s="1"/>
      <c r="R186" s="1"/>
      <c r="S186" s="1"/>
    </row>
    <row r="187" spans="1:19" ht="23" customHeight="1">
      <c r="A187" s="1" t="s">
        <v>244</v>
      </c>
      <c r="B187" s="4">
        <v>46051</v>
      </c>
      <c r="C187" s="1" t="s">
        <v>18</v>
      </c>
      <c r="D187" s="1" t="s">
        <v>62</v>
      </c>
      <c r="E187" s="5">
        <v>33000</v>
      </c>
      <c r="F187" s="1">
        <v>1</v>
      </c>
      <c r="G187" s="4">
        <v>46059</v>
      </c>
      <c r="H187" s="4">
        <v>46064</v>
      </c>
      <c r="I187" s="4">
        <v>46067</v>
      </c>
      <c r="J187" s="4"/>
      <c r="K187" s="1" t="s">
        <v>55</v>
      </c>
      <c r="L187" s="1" t="str">
        <f t="shared" si="2"/>
        <v>Branch</v>
      </c>
      <c r="M187" s="1"/>
      <c r="N187" s="1"/>
      <c r="O187" s="1"/>
      <c r="P187" s="1"/>
      <c r="Q187" s="1"/>
      <c r="R187" s="1"/>
      <c r="S187" s="1"/>
    </row>
    <row r="188" spans="1:19" ht="23" customHeight="1">
      <c r="A188" s="1" t="s">
        <v>245</v>
      </c>
      <c r="B188" s="4">
        <v>46092</v>
      </c>
      <c r="C188" s="1" t="s">
        <v>19</v>
      </c>
      <c r="D188" s="1" t="s">
        <v>54</v>
      </c>
      <c r="E188" s="5">
        <v>26000</v>
      </c>
      <c r="F188" s="1">
        <v>0</v>
      </c>
      <c r="G188" s="4">
        <v>46092</v>
      </c>
      <c r="H188" s="4">
        <v>46094</v>
      </c>
      <c r="I188" s="4">
        <v>46096</v>
      </c>
      <c r="J188" s="4"/>
      <c r="K188" s="1" t="s">
        <v>55</v>
      </c>
      <c r="L188" s="1" t="str">
        <f t="shared" si="2"/>
        <v>Online</v>
      </c>
      <c r="M188" s="1"/>
      <c r="N188" s="1"/>
      <c r="O188" s="1"/>
      <c r="P188" s="1"/>
      <c r="Q188" s="1"/>
      <c r="R188" s="1"/>
      <c r="S188" s="1"/>
    </row>
    <row r="189" spans="1:19" ht="23" customHeight="1">
      <c r="A189" s="1" t="s">
        <v>246</v>
      </c>
      <c r="B189" s="4">
        <v>46061</v>
      </c>
      <c r="C189" s="1" t="s">
        <v>18</v>
      </c>
      <c r="D189" s="1" t="s">
        <v>71</v>
      </c>
      <c r="E189" s="5">
        <v>33000</v>
      </c>
      <c r="F189" s="1">
        <v>1</v>
      </c>
      <c r="G189" s="4">
        <v>46065</v>
      </c>
      <c r="H189" s="4">
        <v>46068</v>
      </c>
      <c r="I189" s="4">
        <v>46070</v>
      </c>
      <c r="J189" s="4"/>
      <c r="K189" s="1" t="s">
        <v>55</v>
      </c>
      <c r="L189" s="1" t="str">
        <f t="shared" si="2"/>
        <v>Branch</v>
      </c>
      <c r="M189" s="1"/>
      <c r="N189" s="1"/>
      <c r="O189" s="1"/>
      <c r="P189" s="1"/>
      <c r="Q189" s="1"/>
      <c r="R189" s="1"/>
      <c r="S189" s="1"/>
    </row>
    <row r="190" spans="1:19" ht="23" customHeight="1">
      <c r="A190" s="1" t="s">
        <v>247</v>
      </c>
      <c r="B190" s="4">
        <v>46091</v>
      </c>
      <c r="C190" s="1" t="s">
        <v>18</v>
      </c>
      <c r="D190" s="1" t="s">
        <v>65</v>
      </c>
      <c r="E190" s="5">
        <v>39000</v>
      </c>
      <c r="F190" s="1">
        <v>1</v>
      </c>
      <c r="G190" s="4"/>
      <c r="H190" s="4"/>
      <c r="I190" s="4"/>
      <c r="J190" s="4">
        <v>46095</v>
      </c>
      <c r="K190" s="1" t="s">
        <v>86</v>
      </c>
      <c r="L190" s="1" t="str">
        <f t="shared" si="2"/>
        <v>Branch</v>
      </c>
      <c r="M190" s="1"/>
      <c r="N190" s="1"/>
      <c r="O190" s="1"/>
      <c r="P190" s="1"/>
      <c r="Q190" s="1"/>
      <c r="R190" s="1"/>
      <c r="S190" s="1"/>
    </row>
    <row r="191" spans="1:19" ht="23" customHeight="1">
      <c r="A191" s="1" t="s">
        <v>248</v>
      </c>
      <c r="B191" s="4">
        <v>46045</v>
      </c>
      <c r="C191" s="1" t="s">
        <v>18</v>
      </c>
      <c r="D191" s="1" t="s">
        <v>65</v>
      </c>
      <c r="E191" s="5">
        <v>49000</v>
      </c>
      <c r="F191" s="1">
        <v>0</v>
      </c>
      <c r="G191" s="4">
        <v>46045</v>
      </c>
      <c r="H191" s="4">
        <v>46050</v>
      </c>
      <c r="I191" s="4">
        <v>46051</v>
      </c>
      <c r="J191" s="4"/>
      <c r="K191" s="1" t="s">
        <v>63</v>
      </c>
      <c r="L191" s="1" t="str">
        <f t="shared" si="2"/>
        <v>Branch</v>
      </c>
      <c r="M191" s="1"/>
      <c r="N191" s="1"/>
      <c r="O191" s="1"/>
      <c r="P191" s="1"/>
      <c r="Q191" s="1"/>
      <c r="R191" s="1"/>
      <c r="S191" s="1"/>
    </row>
    <row r="192" spans="1:19" ht="23" customHeight="1">
      <c r="A192" s="1" t="s">
        <v>249</v>
      </c>
      <c r="B192" s="4">
        <v>46081</v>
      </c>
      <c r="C192" s="1" t="s">
        <v>19</v>
      </c>
      <c r="D192" s="1" t="s">
        <v>54</v>
      </c>
      <c r="E192" s="5">
        <v>37000</v>
      </c>
      <c r="F192" s="1">
        <v>0</v>
      </c>
      <c r="G192" s="4">
        <v>46081</v>
      </c>
      <c r="H192" s="4">
        <v>46085</v>
      </c>
      <c r="I192" s="4">
        <v>46086</v>
      </c>
      <c r="J192" s="4"/>
      <c r="K192" s="1" t="s">
        <v>55</v>
      </c>
      <c r="L192" s="1" t="str">
        <f t="shared" si="2"/>
        <v>Online</v>
      </c>
      <c r="M192" s="1"/>
      <c r="N192" s="1"/>
      <c r="O192" s="1"/>
      <c r="P192" s="1"/>
      <c r="Q192" s="1"/>
      <c r="R192" s="1"/>
      <c r="S192" s="1"/>
    </row>
    <row r="193" spans="1:19" ht="23" customHeight="1">
      <c r="A193" s="1" t="s">
        <v>250</v>
      </c>
      <c r="B193" s="4">
        <v>46100</v>
      </c>
      <c r="C193" s="1" t="s">
        <v>18</v>
      </c>
      <c r="D193" s="1" t="s">
        <v>71</v>
      </c>
      <c r="E193" s="5">
        <v>7000</v>
      </c>
      <c r="F193" s="1">
        <v>1</v>
      </c>
      <c r="G193" s="4">
        <v>46107</v>
      </c>
      <c r="H193" s="4">
        <v>46112</v>
      </c>
      <c r="I193" s="4"/>
      <c r="J193" s="4"/>
      <c r="K193" s="1" t="s">
        <v>69</v>
      </c>
      <c r="L193" s="1" t="str">
        <f t="shared" si="2"/>
        <v>Branch</v>
      </c>
      <c r="M193" s="1"/>
      <c r="N193" s="1"/>
      <c r="O193" s="1"/>
      <c r="P193" s="1"/>
      <c r="Q193" s="1"/>
      <c r="R193" s="1"/>
      <c r="S193" s="1"/>
    </row>
    <row r="194" spans="1:19" ht="23" customHeight="1">
      <c r="A194" s="1" t="s">
        <v>251</v>
      </c>
      <c r="B194" s="4">
        <v>46095</v>
      </c>
      <c r="C194" s="1" t="s">
        <v>18</v>
      </c>
      <c r="D194" s="1" t="s">
        <v>59</v>
      </c>
      <c r="E194" s="5">
        <v>41000</v>
      </c>
      <c r="F194" s="1">
        <v>1</v>
      </c>
      <c r="G194" s="4">
        <v>46103</v>
      </c>
      <c r="H194" s="4">
        <v>46107</v>
      </c>
      <c r="I194" s="4">
        <v>46109</v>
      </c>
      <c r="J194" s="4"/>
      <c r="K194" s="1" t="s">
        <v>63</v>
      </c>
      <c r="L194" s="1" t="str">
        <f t="shared" si="2"/>
        <v>Branch</v>
      </c>
      <c r="M194" s="1"/>
      <c r="N194" s="1"/>
      <c r="O194" s="1"/>
      <c r="P194" s="1"/>
      <c r="Q194" s="1"/>
      <c r="R194" s="1"/>
      <c r="S194" s="1"/>
    </row>
    <row r="195" spans="1:19" ht="23" customHeight="1">
      <c r="A195" s="1" t="s">
        <v>252</v>
      </c>
      <c r="B195" s="4">
        <v>46095</v>
      </c>
      <c r="C195" s="1" t="s">
        <v>19</v>
      </c>
      <c r="D195" s="1" t="s">
        <v>54</v>
      </c>
      <c r="E195" s="5">
        <v>46000</v>
      </c>
      <c r="F195" s="1">
        <v>0</v>
      </c>
      <c r="G195" s="4">
        <v>46096</v>
      </c>
      <c r="H195" s="4">
        <v>46101</v>
      </c>
      <c r="I195" s="4">
        <v>46103</v>
      </c>
      <c r="J195" s="4"/>
      <c r="K195" s="1" t="s">
        <v>55</v>
      </c>
      <c r="L195" s="1" t="str">
        <f t="shared" si="2"/>
        <v>Online</v>
      </c>
      <c r="M195" s="1"/>
      <c r="N195" s="1"/>
      <c r="O195" s="1"/>
      <c r="P195" s="1"/>
      <c r="Q195" s="1"/>
      <c r="R195" s="1"/>
      <c r="S195" s="1"/>
    </row>
    <row r="196" spans="1:19" ht="23" customHeight="1">
      <c r="A196" s="1" t="s">
        <v>253</v>
      </c>
      <c r="B196" s="4">
        <v>46050</v>
      </c>
      <c r="C196" s="1" t="s">
        <v>19</v>
      </c>
      <c r="D196" s="1" t="s">
        <v>54</v>
      </c>
      <c r="E196" s="5">
        <v>45000</v>
      </c>
      <c r="F196" s="1">
        <v>0</v>
      </c>
      <c r="G196" s="4">
        <v>46052</v>
      </c>
      <c r="H196" s="4">
        <v>46054</v>
      </c>
      <c r="I196" s="4">
        <v>46056</v>
      </c>
      <c r="J196" s="4"/>
      <c r="K196" s="1" t="s">
        <v>55</v>
      </c>
      <c r="L196" s="1" t="str">
        <f t="shared" si="2"/>
        <v>Online</v>
      </c>
      <c r="M196" s="1"/>
      <c r="N196" s="1"/>
      <c r="O196" s="1"/>
      <c r="P196" s="1"/>
      <c r="Q196" s="1"/>
      <c r="R196" s="1"/>
      <c r="S196" s="1"/>
    </row>
    <row r="197" spans="1:19" ht="23" customHeight="1">
      <c r="A197" s="1" t="s">
        <v>254</v>
      </c>
      <c r="B197" s="4">
        <v>46067</v>
      </c>
      <c r="C197" s="1" t="s">
        <v>18</v>
      </c>
      <c r="D197" s="1" t="s">
        <v>71</v>
      </c>
      <c r="E197" s="5">
        <v>13000</v>
      </c>
      <c r="F197" s="1">
        <v>0</v>
      </c>
      <c r="G197" s="4">
        <v>46067</v>
      </c>
      <c r="H197" s="4">
        <v>46072</v>
      </c>
      <c r="I197" s="4">
        <v>46074</v>
      </c>
      <c r="J197" s="4"/>
      <c r="K197" s="1" t="s">
        <v>55</v>
      </c>
      <c r="L197" s="1" t="str">
        <f t="shared" ref="L197:L260" si="3">PROPER(TRIM(C197))</f>
        <v>Branch</v>
      </c>
      <c r="M197" s="1"/>
      <c r="N197" s="1"/>
      <c r="O197" s="1"/>
      <c r="P197" s="1"/>
      <c r="Q197" s="1"/>
      <c r="R197" s="1"/>
      <c r="S197" s="1"/>
    </row>
    <row r="198" spans="1:19" ht="23" customHeight="1">
      <c r="A198" s="1" t="s">
        <v>255</v>
      </c>
      <c r="B198" s="4">
        <v>46073</v>
      </c>
      <c r="C198" s="1" t="s">
        <v>18</v>
      </c>
      <c r="D198" s="1" t="s">
        <v>62</v>
      </c>
      <c r="E198" s="5">
        <v>41000</v>
      </c>
      <c r="F198" s="1">
        <v>1</v>
      </c>
      <c r="G198" s="4">
        <v>46083</v>
      </c>
      <c r="H198" s="4">
        <v>46087</v>
      </c>
      <c r="I198" s="4">
        <v>46088</v>
      </c>
      <c r="J198" s="4"/>
      <c r="K198" s="1" t="s">
        <v>55</v>
      </c>
      <c r="L198" s="1" t="str">
        <f t="shared" si="3"/>
        <v>Branch</v>
      </c>
      <c r="M198" s="1"/>
      <c r="N198" s="1"/>
      <c r="O198" s="1"/>
      <c r="P198" s="1"/>
      <c r="Q198" s="1"/>
      <c r="R198" s="1"/>
      <c r="S198" s="1"/>
    </row>
    <row r="199" spans="1:19" ht="23" customHeight="1">
      <c r="A199" s="1" t="s">
        <v>256</v>
      </c>
      <c r="B199" s="4">
        <v>46062</v>
      </c>
      <c r="C199" s="1" t="s">
        <v>18</v>
      </c>
      <c r="D199" s="1" t="s">
        <v>62</v>
      </c>
      <c r="E199" s="5">
        <v>5000</v>
      </c>
      <c r="F199" s="1">
        <v>0</v>
      </c>
      <c r="G199" s="4">
        <v>46063</v>
      </c>
      <c r="H199" s="4">
        <v>46070</v>
      </c>
      <c r="I199" s="4">
        <v>46071</v>
      </c>
      <c r="J199" s="4"/>
      <c r="K199" s="1" t="s">
        <v>63</v>
      </c>
      <c r="L199" s="1" t="str">
        <f t="shared" si="3"/>
        <v>Branch</v>
      </c>
      <c r="M199" s="1"/>
      <c r="N199" s="1"/>
      <c r="O199" s="1"/>
      <c r="P199" s="1"/>
      <c r="Q199" s="1"/>
      <c r="R199" s="1"/>
      <c r="S199" s="1"/>
    </row>
    <row r="200" spans="1:19" ht="23" customHeight="1">
      <c r="A200" s="1" t="s">
        <v>257</v>
      </c>
      <c r="B200" s="4">
        <v>46023</v>
      </c>
      <c r="C200" s="1" t="s">
        <v>18</v>
      </c>
      <c r="D200" s="1" t="s">
        <v>62</v>
      </c>
      <c r="E200" s="5">
        <v>21000</v>
      </c>
      <c r="F200" s="1">
        <v>1</v>
      </c>
      <c r="G200" s="4">
        <v>46030</v>
      </c>
      <c r="H200" s="4">
        <v>46036</v>
      </c>
      <c r="I200" s="4">
        <v>46038</v>
      </c>
      <c r="J200" s="4"/>
      <c r="K200" s="1" t="s">
        <v>63</v>
      </c>
      <c r="L200" s="1" t="str">
        <f t="shared" si="3"/>
        <v>Branch</v>
      </c>
      <c r="M200" s="1"/>
      <c r="N200" s="1"/>
      <c r="O200" s="1"/>
      <c r="P200" s="1"/>
      <c r="Q200" s="1"/>
      <c r="R200" s="1"/>
      <c r="S200" s="1"/>
    </row>
    <row r="201" spans="1:19" ht="23" customHeight="1">
      <c r="A201" s="1" t="s">
        <v>258</v>
      </c>
      <c r="B201" s="4">
        <v>46109</v>
      </c>
      <c r="C201" s="1" t="s">
        <v>19</v>
      </c>
      <c r="D201" s="1" t="s">
        <v>54</v>
      </c>
      <c r="E201" s="5">
        <v>44000</v>
      </c>
      <c r="F201" s="1">
        <v>0</v>
      </c>
      <c r="G201" s="4">
        <v>46110</v>
      </c>
      <c r="H201" s="4"/>
      <c r="I201" s="4"/>
      <c r="J201" s="4"/>
      <c r="K201" s="1" t="s">
        <v>69</v>
      </c>
      <c r="L201" s="1" t="str">
        <f t="shared" si="3"/>
        <v>Online</v>
      </c>
      <c r="M201" s="1"/>
      <c r="N201" s="1"/>
      <c r="O201" s="1"/>
      <c r="P201" s="1"/>
      <c r="Q201" s="1"/>
      <c r="R201" s="1"/>
      <c r="S201" s="1"/>
    </row>
    <row r="202" spans="1:19" ht="23" customHeight="1">
      <c r="A202" s="1" t="s">
        <v>259</v>
      </c>
      <c r="B202" s="4">
        <v>46105</v>
      </c>
      <c r="C202" s="1" t="s">
        <v>19</v>
      </c>
      <c r="D202" s="1" t="s">
        <v>54</v>
      </c>
      <c r="E202" s="5">
        <v>43000</v>
      </c>
      <c r="F202" s="1">
        <v>0</v>
      </c>
      <c r="G202" s="4">
        <v>46107</v>
      </c>
      <c r="H202" s="4">
        <v>46109</v>
      </c>
      <c r="I202" s="4">
        <v>46110</v>
      </c>
      <c r="J202" s="4"/>
      <c r="K202" s="1" t="s">
        <v>55</v>
      </c>
      <c r="L202" s="1" t="str">
        <f t="shared" si="3"/>
        <v>Online</v>
      </c>
      <c r="M202" s="1"/>
      <c r="N202" s="1"/>
      <c r="O202" s="1"/>
      <c r="P202" s="1"/>
      <c r="Q202" s="1"/>
      <c r="R202" s="1"/>
      <c r="S202" s="1"/>
    </row>
    <row r="203" spans="1:19" ht="23" customHeight="1">
      <c r="A203" s="1" t="s">
        <v>260</v>
      </c>
      <c r="B203" s="4">
        <v>46033</v>
      </c>
      <c r="C203" s="1" t="s">
        <v>18</v>
      </c>
      <c r="D203" s="1" t="s">
        <v>59</v>
      </c>
      <c r="E203" s="5">
        <v>44000</v>
      </c>
      <c r="F203" s="1">
        <v>0</v>
      </c>
      <c r="G203" s="4">
        <v>46035</v>
      </c>
      <c r="H203" s="4">
        <v>46040</v>
      </c>
      <c r="I203" s="4">
        <v>46043</v>
      </c>
      <c r="J203" s="4"/>
      <c r="K203" s="1" t="s">
        <v>55</v>
      </c>
      <c r="L203" s="1" t="str">
        <f t="shared" si="3"/>
        <v>Branch</v>
      </c>
      <c r="M203" s="1"/>
      <c r="N203" s="1"/>
      <c r="O203" s="1"/>
      <c r="P203" s="1"/>
      <c r="Q203" s="1"/>
      <c r="R203" s="1"/>
      <c r="S203" s="1"/>
    </row>
    <row r="204" spans="1:19" ht="23" customHeight="1">
      <c r="A204" s="1" t="s">
        <v>261</v>
      </c>
      <c r="B204" s="4">
        <v>46080</v>
      </c>
      <c r="C204" s="1" t="s">
        <v>18</v>
      </c>
      <c r="D204" s="1" t="s">
        <v>62</v>
      </c>
      <c r="E204" s="5">
        <v>46000</v>
      </c>
      <c r="F204" s="1">
        <v>0</v>
      </c>
      <c r="G204" s="4">
        <v>46080</v>
      </c>
      <c r="H204" s="4">
        <v>46087</v>
      </c>
      <c r="I204" s="4">
        <v>46088</v>
      </c>
      <c r="J204" s="4"/>
      <c r="K204" s="1" t="s">
        <v>55</v>
      </c>
      <c r="L204" s="1" t="str">
        <f t="shared" si="3"/>
        <v>Branch</v>
      </c>
      <c r="M204" s="1"/>
      <c r="N204" s="1"/>
      <c r="O204" s="1"/>
      <c r="P204" s="1"/>
      <c r="Q204" s="1"/>
      <c r="R204" s="1"/>
      <c r="S204" s="1"/>
    </row>
    <row r="205" spans="1:19" ht="23" customHeight="1">
      <c r="A205" s="1" t="s">
        <v>262</v>
      </c>
      <c r="B205" s="4">
        <v>46048</v>
      </c>
      <c r="C205" s="1" t="s">
        <v>18</v>
      </c>
      <c r="D205" s="1" t="s">
        <v>59</v>
      </c>
      <c r="E205" s="5">
        <v>34000</v>
      </c>
      <c r="F205" s="1">
        <v>1</v>
      </c>
      <c r="G205" s="4">
        <v>46057</v>
      </c>
      <c r="H205" s="4">
        <v>46062</v>
      </c>
      <c r="I205" s="4">
        <v>46063</v>
      </c>
      <c r="J205" s="4"/>
      <c r="K205" s="1" t="s">
        <v>55</v>
      </c>
      <c r="L205" s="1" t="str">
        <f t="shared" si="3"/>
        <v>Branch</v>
      </c>
      <c r="M205" s="1"/>
      <c r="N205" s="1"/>
      <c r="O205" s="1"/>
      <c r="P205" s="1"/>
      <c r="Q205" s="1"/>
      <c r="R205" s="1"/>
      <c r="S205" s="1"/>
    </row>
    <row r="206" spans="1:19" ht="23" customHeight="1">
      <c r="A206" s="1" t="s">
        <v>263</v>
      </c>
      <c r="B206" s="4">
        <v>46094</v>
      </c>
      <c r="C206" s="1" t="s">
        <v>19</v>
      </c>
      <c r="D206" s="1" t="s">
        <v>54</v>
      </c>
      <c r="E206" s="5">
        <v>14000</v>
      </c>
      <c r="F206" s="1">
        <v>0</v>
      </c>
      <c r="G206" s="4">
        <v>46094</v>
      </c>
      <c r="H206" s="4">
        <v>46098</v>
      </c>
      <c r="I206" s="4">
        <v>46100</v>
      </c>
      <c r="J206" s="4"/>
      <c r="K206" s="1" t="s">
        <v>63</v>
      </c>
      <c r="L206" s="1" t="str">
        <f t="shared" si="3"/>
        <v>Online</v>
      </c>
      <c r="M206" s="1"/>
      <c r="N206" s="1"/>
      <c r="O206" s="1"/>
      <c r="P206" s="1"/>
      <c r="Q206" s="1"/>
      <c r="R206" s="1"/>
      <c r="S206" s="1"/>
    </row>
    <row r="207" spans="1:19" ht="23" customHeight="1">
      <c r="A207" s="1" t="s">
        <v>264</v>
      </c>
      <c r="B207" s="4">
        <v>46060</v>
      </c>
      <c r="C207" s="1" t="s">
        <v>19</v>
      </c>
      <c r="D207" s="1" t="s">
        <v>54</v>
      </c>
      <c r="E207" s="5">
        <v>17000</v>
      </c>
      <c r="F207" s="1">
        <v>0</v>
      </c>
      <c r="G207" s="4">
        <v>46061</v>
      </c>
      <c r="H207" s="4">
        <v>46063</v>
      </c>
      <c r="I207" s="4">
        <v>46066</v>
      </c>
      <c r="J207" s="4"/>
      <c r="K207" s="1" t="s">
        <v>55</v>
      </c>
      <c r="L207" s="1" t="str">
        <f t="shared" si="3"/>
        <v>Online</v>
      </c>
      <c r="M207" s="1"/>
      <c r="N207" s="1"/>
      <c r="O207" s="1"/>
      <c r="P207" s="1"/>
      <c r="Q207" s="1"/>
      <c r="R207" s="1"/>
      <c r="S207" s="1"/>
    </row>
    <row r="208" spans="1:19" ht="23" customHeight="1">
      <c r="A208" s="1" t="s">
        <v>265</v>
      </c>
      <c r="B208" s="4">
        <v>46067</v>
      </c>
      <c r="C208" s="1" t="s">
        <v>19</v>
      </c>
      <c r="D208" s="1" t="s">
        <v>54</v>
      </c>
      <c r="E208" s="5">
        <v>8000</v>
      </c>
      <c r="F208" s="1">
        <v>0</v>
      </c>
      <c r="G208" s="4">
        <v>46069</v>
      </c>
      <c r="H208" s="4">
        <v>46073</v>
      </c>
      <c r="I208" s="4">
        <v>46074</v>
      </c>
      <c r="J208" s="4"/>
      <c r="K208" s="1" t="s">
        <v>55</v>
      </c>
      <c r="L208" s="1" t="str">
        <f t="shared" si="3"/>
        <v>Online</v>
      </c>
      <c r="M208" s="1"/>
      <c r="N208" s="1"/>
      <c r="O208" s="1"/>
      <c r="P208" s="1"/>
      <c r="Q208" s="1"/>
      <c r="R208" s="1"/>
      <c r="S208" s="1"/>
    </row>
    <row r="209" spans="1:19" ht="23" customHeight="1">
      <c r="A209" s="1" t="s">
        <v>266</v>
      </c>
      <c r="B209" s="4">
        <v>46076</v>
      </c>
      <c r="C209" s="1" t="s">
        <v>18</v>
      </c>
      <c r="D209" s="1" t="s">
        <v>62</v>
      </c>
      <c r="E209" s="5">
        <v>17000</v>
      </c>
      <c r="F209" s="1">
        <v>0</v>
      </c>
      <c r="G209" s="4">
        <v>46076</v>
      </c>
      <c r="H209" s="4">
        <v>46084</v>
      </c>
      <c r="I209" s="4">
        <v>46086</v>
      </c>
      <c r="J209" s="4"/>
      <c r="K209" s="1" t="s">
        <v>55</v>
      </c>
      <c r="L209" s="1" t="str">
        <f t="shared" si="3"/>
        <v>Branch</v>
      </c>
      <c r="M209" s="1"/>
      <c r="N209" s="1"/>
      <c r="O209" s="1"/>
      <c r="P209" s="1"/>
      <c r="Q209" s="1"/>
      <c r="R209" s="1"/>
      <c r="S209" s="1"/>
    </row>
    <row r="210" spans="1:19" ht="23" customHeight="1">
      <c r="A210" s="1" t="s">
        <v>267</v>
      </c>
      <c r="B210" s="4">
        <v>46062</v>
      </c>
      <c r="C210" s="1" t="s">
        <v>18</v>
      </c>
      <c r="D210" s="1" t="s">
        <v>71</v>
      </c>
      <c r="E210" s="5">
        <v>20000</v>
      </c>
      <c r="F210" s="1">
        <v>0</v>
      </c>
      <c r="G210" s="4">
        <v>46064</v>
      </c>
      <c r="H210" s="4">
        <v>46066</v>
      </c>
      <c r="I210" s="4">
        <v>46067</v>
      </c>
      <c r="J210" s="4"/>
      <c r="K210" s="1" t="s">
        <v>55</v>
      </c>
      <c r="L210" s="1" t="str">
        <f t="shared" si="3"/>
        <v>Branch</v>
      </c>
      <c r="M210" s="1"/>
      <c r="N210" s="1"/>
      <c r="O210" s="1"/>
      <c r="P210" s="1"/>
      <c r="Q210" s="1"/>
      <c r="R210" s="1"/>
      <c r="S210" s="1"/>
    </row>
    <row r="211" spans="1:19" ht="23" customHeight="1">
      <c r="A211" s="1" t="s">
        <v>268</v>
      </c>
      <c r="B211" s="4">
        <v>46027</v>
      </c>
      <c r="C211" s="1" t="s">
        <v>19</v>
      </c>
      <c r="D211" s="1" t="s">
        <v>54</v>
      </c>
      <c r="E211" s="5">
        <v>46000</v>
      </c>
      <c r="F211" s="1">
        <v>1</v>
      </c>
      <c r="G211" s="4">
        <v>46035</v>
      </c>
      <c r="H211" s="4">
        <v>46038</v>
      </c>
      <c r="I211" s="4">
        <v>46039</v>
      </c>
      <c r="J211" s="4"/>
      <c r="K211" s="1" t="s">
        <v>63</v>
      </c>
      <c r="L211" s="1" t="str">
        <f t="shared" si="3"/>
        <v>Online</v>
      </c>
      <c r="M211" s="1"/>
      <c r="N211" s="1"/>
      <c r="O211" s="1"/>
      <c r="P211" s="1"/>
      <c r="Q211" s="1"/>
      <c r="R211" s="1"/>
      <c r="S211" s="1"/>
    </row>
    <row r="212" spans="1:19" ht="23" customHeight="1">
      <c r="A212" s="1" t="s">
        <v>269</v>
      </c>
      <c r="B212" s="4">
        <v>46076</v>
      </c>
      <c r="C212" s="1" t="s">
        <v>19</v>
      </c>
      <c r="D212" s="1" t="s">
        <v>54</v>
      </c>
      <c r="E212" s="5">
        <v>12000</v>
      </c>
      <c r="F212" s="1">
        <v>0</v>
      </c>
      <c r="G212" s="4">
        <v>46078</v>
      </c>
      <c r="H212" s="4">
        <v>46079</v>
      </c>
      <c r="I212" s="4">
        <v>46082</v>
      </c>
      <c r="J212" s="4"/>
      <c r="K212" s="1" t="s">
        <v>55</v>
      </c>
      <c r="L212" s="1" t="str">
        <f t="shared" si="3"/>
        <v>Online</v>
      </c>
      <c r="M212" s="1"/>
      <c r="N212" s="1"/>
      <c r="O212" s="1"/>
      <c r="P212" s="1"/>
      <c r="Q212" s="1"/>
      <c r="R212" s="1"/>
      <c r="S212" s="1"/>
    </row>
    <row r="213" spans="1:19" ht="23" customHeight="1">
      <c r="A213" s="1" t="s">
        <v>270</v>
      </c>
      <c r="B213" s="4">
        <v>46090</v>
      </c>
      <c r="C213" s="1" t="s">
        <v>18</v>
      </c>
      <c r="D213" s="1" t="s">
        <v>62</v>
      </c>
      <c r="E213" s="5">
        <v>32000</v>
      </c>
      <c r="F213" s="1">
        <v>1</v>
      </c>
      <c r="G213" s="4"/>
      <c r="H213" s="4"/>
      <c r="I213" s="4"/>
      <c r="J213" s="4">
        <v>46095</v>
      </c>
      <c r="K213" s="1" t="s">
        <v>86</v>
      </c>
      <c r="L213" s="1" t="str">
        <f t="shared" si="3"/>
        <v>Branch</v>
      </c>
      <c r="M213" s="1"/>
      <c r="N213" s="1"/>
      <c r="O213" s="1"/>
      <c r="P213" s="1"/>
      <c r="Q213" s="1"/>
      <c r="R213" s="1"/>
      <c r="S213" s="1"/>
    </row>
    <row r="214" spans="1:19" ht="23" customHeight="1">
      <c r="A214" s="1" t="s">
        <v>271</v>
      </c>
      <c r="B214" s="4">
        <v>46070</v>
      </c>
      <c r="C214" s="1" t="s">
        <v>19</v>
      </c>
      <c r="D214" s="1" t="s">
        <v>54</v>
      </c>
      <c r="E214" s="5">
        <v>28000</v>
      </c>
      <c r="F214" s="1">
        <v>0</v>
      </c>
      <c r="G214" s="4">
        <v>46072</v>
      </c>
      <c r="H214" s="4">
        <v>46077</v>
      </c>
      <c r="I214" s="4">
        <v>46080</v>
      </c>
      <c r="J214" s="4"/>
      <c r="K214" s="1" t="s">
        <v>55</v>
      </c>
      <c r="L214" s="1" t="str">
        <f t="shared" si="3"/>
        <v>Online</v>
      </c>
      <c r="M214" s="1"/>
      <c r="N214" s="1"/>
      <c r="O214" s="1"/>
      <c r="P214" s="1"/>
      <c r="Q214" s="1"/>
      <c r="R214" s="1"/>
      <c r="S214" s="1"/>
    </row>
    <row r="215" spans="1:19" ht="23" customHeight="1">
      <c r="A215" s="1" t="s">
        <v>272</v>
      </c>
      <c r="B215" s="4">
        <v>46055</v>
      </c>
      <c r="C215" s="1" t="s">
        <v>18</v>
      </c>
      <c r="D215" s="1" t="s">
        <v>59</v>
      </c>
      <c r="E215" s="5">
        <v>36000</v>
      </c>
      <c r="F215" s="1">
        <v>1</v>
      </c>
      <c r="G215" s="4">
        <v>46058</v>
      </c>
      <c r="H215" s="4">
        <v>46063</v>
      </c>
      <c r="I215" s="4">
        <v>46065</v>
      </c>
      <c r="J215" s="4"/>
      <c r="K215" s="1" t="s">
        <v>63</v>
      </c>
      <c r="L215" s="1" t="str">
        <f t="shared" si="3"/>
        <v>Branch</v>
      </c>
      <c r="M215" s="1"/>
      <c r="N215" s="1"/>
      <c r="O215" s="1"/>
      <c r="P215" s="1"/>
      <c r="Q215" s="1"/>
      <c r="R215" s="1"/>
      <c r="S215" s="1"/>
    </row>
    <row r="216" spans="1:19" ht="23" customHeight="1">
      <c r="A216" s="1" t="s">
        <v>273</v>
      </c>
      <c r="B216" s="4">
        <v>46109</v>
      </c>
      <c r="C216" s="1" t="s">
        <v>18</v>
      </c>
      <c r="D216" s="1" t="s">
        <v>71</v>
      </c>
      <c r="E216" s="5">
        <v>36000</v>
      </c>
      <c r="F216" s="1">
        <v>0</v>
      </c>
      <c r="G216" s="4">
        <v>46110</v>
      </c>
      <c r="H216" s="4"/>
      <c r="I216" s="4"/>
      <c r="J216" s="4"/>
      <c r="K216" s="1" t="s">
        <v>69</v>
      </c>
      <c r="L216" s="1" t="str">
        <f t="shared" si="3"/>
        <v>Branch</v>
      </c>
      <c r="M216" s="1"/>
      <c r="N216" s="1"/>
      <c r="O216" s="1"/>
      <c r="P216" s="1"/>
      <c r="Q216" s="1"/>
      <c r="R216" s="1"/>
      <c r="S216" s="1"/>
    </row>
    <row r="217" spans="1:19" ht="23" customHeight="1">
      <c r="A217" s="1" t="s">
        <v>274</v>
      </c>
      <c r="B217" s="4">
        <v>46101</v>
      </c>
      <c r="C217" s="1" t="s">
        <v>19</v>
      </c>
      <c r="D217" s="1" t="s">
        <v>54</v>
      </c>
      <c r="E217" s="5">
        <v>20000</v>
      </c>
      <c r="F217" s="1">
        <v>1</v>
      </c>
      <c r="G217" s="4">
        <v>46111</v>
      </c>
      <c r="H217" s="4"/>
      <c r="I217" s="4"/>
      <c r="J217" s="4"/>
      <c r="K217" s="1" t="s">
        <v>69</v>
      </c>
      <c r="L217" s="1" t="str">
        <f t="shared" si="3"/>
        <v>Online</v>
      </c>
      <c r="M217" s="1"/>
      <c r="N217" s="1"/>
      <c r="O217" s="1"/>
      <c r="P217" s="1"/>
      <c r="Q217" s="1"/>
      <c r="R217" s="1"/>
      <c r="S217" s="1"/>
    </row>
    <row r="218" spans="1:19" ht="23" customHeight="1">
      <c r="A218" s="1" t="s">
        <v>275</v>
      </c>
      <c r="B218" s="4">
        <v>46076</v>
      </c>
      <c r="C218" s="1" t="s">
        <v>18</v>
      </c>
      <c r="D218" s="1" t="s">
        <v>71</v>
      </c>
      <c r="E218" s="5">
        <v>33000</v>
      </c>
      <c r="F218" s="1">
        <v>0</v>
      </c>
      <c r="G218" s="4">
        <v>46077</v>
      </c>
      <c r="H218" s="4">
        <v>46080</v>
      </c>
      <c r="I218" s="4">
        <v>46081</v>
      </c>
      <c r="J218" s="4"/>
      <c r="K218" s="1" t="s">
        <v>63</v>
      </c>
      <c r="L218" s="1" t="str">
        <f t="shared" si="3"/>
        <v>Branch</v>
      </c>
      <c r="M218" s="1"/>
      <c r="N218" s="1"/>
      <c r="O218" s="1"/>
      <c r="P218" s="1"/>
      <c r="Q218" s="1"/>
      <c r="R218" s="1"/>
      <c r="S218" s="1"/>
    </row>
    <row r="219" spans="1:19" ht="23" customHeight="1">
      <c r="A219" s="1" t="s">
        <v>276</v>
      </c>
      <c r="B219" s="4">
        <v>46052</v>
      </c>
      <c r="C219" s="1" t="s">
        <v>19</v>
      </c>
      <c r="D219" s="1" t="s">
        <v>54</v>
      </c>
      <c r="E219" s="5">
        <v>17000</v>
      </c>
      <c r="F219" s="1">
        <v>1</v>
      </c>
      <c r="G219" s="4">
        <v>46055</v>
      </c>
      <c r="H219" s="4">
        <v>46061</v>
      </c>
      <c r="I219" s="4">
        <v>46063</v>
      </c>
      <c r="J219" s="4"/>
      <c r="K219" s="1" t="s">
        <v>63</v>
      </c>
      <c r="L219" s="1" t="str">
        <f t="shared" si="3"/>
        <v>Online</v>
      </c>
      <c r="M219" s="1"/>
      <c r="N219" s="1"/>
      <c r="O219" s="1"/>
      <c r="P219" s="1"/>
      <c r="Q219" s="1"/>
      <c r="R219" s="1"/>
      <c r="S219" s="1"/>
    </row>
    <row r="220" spans="1:19" ht="23" customHeight="1">
      <c r="A220" s="1" t="s">
        <v>277</v>
      </c>
      <c r="B220" s="4">
        <v>46078</v>
      </c>
      <c r="C220" s="1" t="s">
        <v>18</v>
      </c>
      <c r="D220" s="1" t="s">
        <v>59</v>
      </c>
      <c r="E220" s="5">
        <v>13000</v>
      </c>
      <c r="F220" s="1">
        <v>1</v>
      </c>
      <c r="G220" s="4">
        <v>46088</v>
      </c>
      <c r="H220" s="4">
        <v>46089</v>
      </c>
      <c r="I220" s="4">
        <v>46091</v>
      </c>
      <c r="J220" s="4"/>
      <c r="K220" s="1" t="s">
        <v>55</v>
      </c>
      <c r="L220" s="1" t="str">
        <f t="shared" si="3"/>
        <v>Branch</v>
      </c>
      <c r="M220" s="1"/>
      <c r="N220" s="1"/>
      <c r="O220" s="1"/>
      <c r="P220" s="1"/>
      <c r="Q220" s="1"/>
      <c r="R220" s="1"/>
      <c r="S220" s="1"/>
    </row>
    <row r="221" spans="1:19" ht="23" customHeight="1">
      <c r="A221" s="1" t="s">
        <v>278</v>
      </c>
      <c r="B221" s="4">
        <v>46093</v>
      </c>
      <c r="C221" s="1" t="s">
        <v>18</v>
      </c>
      <c r="D221" s="1" t="s">
        <v>59</v>
      </c>
      <c r="E221" s="5">
        <v>34000</v>
      </c>
      <c r="F221" s="1">
        <v>1</v>
      </c>
      <c r="G221" s="4">
        <v>46097</v>
      </c>
      <c r="H221" s="4">
        <v>46103</v>
      </c>
      <c r="I221" s="4">
        <v>46104</v>
      </c>
      <c r="J221" s="4"/>
      <c r="K221" s="1" t="s">
        <v>55</v>
      </c>
      <c r="L221" s="1" t="str">
        <f t="shared" si="3"/>
        <v>Branch</v>
      </c>
      <c r="M221" s="1"/>
      <c r="N221" s="1"/>
      <c r="O221" s="1"/>
      <c r="P221" s="1"/>
      <c r="Q221" s="1"/>
      <c r="R221" s="1"/>
      <c r="S221" s="1"/>
    </row>
    <row r="222" spans="1:19" ht="23" customHeight="1">
      <c r="A222" s="1" t="s">
        <v>279</v>
      </c>
      <c r="B222" s="4">
        <v>46026</v>
      </c>
      <c r="C222" s="1" t="s">
        <v>18</v>
      </c>
      <c r="D222" s="1" t="s">
        <v>59</v>
      </c>
      <c r="E222" s="5">
        <v>27000</v>
      </c>
      <c r="F222" s="1">
        <v>0</v>
      </c>
      <c r="G222" s="4">
        <v>46027</v>
      </c>
      <c r="H222" s="4">
        <v>46032</v>
      </c>
      <c r="I222" s="4">
        <v>46034</v>
      </c>
      <c r="J222" s="4"/>
      <c r="K222" s="1" t="s">
        <v>55</v>
      </c>
      <c r="L222" s="1" t="str">
        <f t="shared" si="3"/>
        <v>Branch</v>
      </c>
      <c r="M222" s="1"/>
      <c r="N222" s="1"/>
      <c r="O222" s="1"/>
      <c r="P222" s="1"/>
      <c r="Q222" s="1"/>
      <c r="R222" s="1"/>
      <c r="S222" s="1"/>
    </row>
    <row r="223" spans="1:19" ht="23" customHeight="1">
      <c r="A223" s="1" t="s">
        <v>280</v>
      </c>
      <c r="B223" s="4">
        <v>46107</v>
      </c>
      <c r="C223" s="1" t="s">
        <v>19</v>
      </c>
      <c r="D223" s="1" t="s">
        <v>54</v>
      </c>
      <c r="E223" s="5">
        <v>12000</v>
      </c>
      <c r="F223" s="1">
        <v>0</v>
      </c>
      <c r="G223" s="4">
        <v>46109</v>
      </c>
      <c r="H223" s="4"/>
      <c r="I223" s="4"/>
      <c r="J223" s="4"/>
      <c r="K223" s="1" t="s">
        <v>69</v>
      </c>
      <c r="L223" s="1" t="str">
        <f t="shared" si="3"/>
        <v>Online</v>
      </c>
      <c r="M223" s="1"/>
      <c r="N223" s="1"/>
      <c r="O223" s="1"/>
      <c r="P223" s="1"/>
      <c r="Q223" s="1"/>
      <c r="R223" s="1"/>
      <c r="S223" s="1"/>
    </row>
    <row r="224" spans="1:19" ht="23" customHeight="1">
      <c r="A224" s="1" t="s">
        <v>281</v>
      </c>
      <c r="B224" s="4">
        <v>46067</v>
      </c>
      <c r="C224" s="1" t="s">
        <v>19</v>
      </c>
      <c r="D224" s="1" t="s">
        <v>54</v>
      </c>
      <c r="E224" s="5">
        <v>37000</v>
      </c>
      <c r="F224" s="1">
        <v>0</v>
      </c>
      <c r="G224" s="4">
        <v>46067</v>
      </c>
      <c r="H224" s="4">
        <v>46069</v>
      </c>
      <c r="I224" s="4">
        <v>46072</v>
      </c>
      <c r="J224" s="4"/>
      <c r="K224" s="1" t="s">
        <v>63</v>
      </c>
      <c r="L224" s="1" t="str">
        <f t="shared" si="3"/>
        <v>Online</v>
      </c>
      <c r="M224" s="1"/>
      <c r="N224" s="1"/>
      <c r="O224" s="1"/>
      <c r="P224" s="1"/>
      <c r="Q224" s="1"/>
      <c r="R224" s="1"/>
      <c r="S224" s="1"/>
    </row>
    <row r="225" spans="1:19" ht="23" customHeight="1">
      <c r="A225" s="1" t="s">
        <v>282</v>
      </c>
      <c r="B225" s="4">
        <v>46091</v>
      </c>
      <c r="C225" s="1" t="s">
        <v>19</v>
      </c>
      <c r="D225" s="1" t="s">
        <v>54</v>
      </c>
      <c r="E225" s="5">
        <v>47000</v>
      </c>
      <c r="F225" s="1">
        <v>0</v>
      </c>
      <c r="G225" s="4">
        <v>46093</v>
      </c>
      <c r="H225" s="4">
        <v>46099</v>
      </c>
      <c r="I225" s="4">
        <v>46101</v>
      </c>
      <c r="J225" s="4"/>
      <c r="K225" s="1" t="s">
        <v>55</v>
      </c>
      <c r="L225" s="1" t="str">
        <f t="shared" si="3"/>
        <v>Online</v>
      </c>
      <c r="M225" s="1"/>
      <c r="N225" s="1"/>
      <c r="O225" s="1"/>
      <c r="P225" s="1"/>
      <c r="Q225" s="1"/>
      <c r="R225" s="1"/>
      <c r="S225" s="1"/>
    </row>
    <row r="226" spans="1:19" ht="23" customHeight="1">
      <c r="A226" s="1" t="s">
        <v>283</v>
      </c>
      <c r="B226" s="4">
        <v>46062</v>
      </c>
      <c r="C226" s="1" t="s">
        <v>18</v>
      </c>
      <c r="D226" s="1" t="s">
        <v>65</v>
      </c>
      <c r="E226" s="5">
        <v>30000</v>
      </c>
      <c r="F226" s="1">
        <v>0</v>
      </c>
      <c r="G226" s="4">
        <v>46062</v>
      </c>
      <c r="H226" s="4">
        <v>46063</v>
      </c>
      <c r="I226" s="4">
        <v>46066</v>
      </c>
      <c r="J226" s="4"/>
      <c r="K226" s="1" t="s">
        <v>55</v>
      </c>
      <c r="L226" s="1" t="str">
        <f t="shared" si="3"/>
        <v>Branch</v>
      </c>
      <c r="M226" s="1"/>
      <c r="N226" s="1"/>
      <c r="O226" s="1"/>
      <c r="P226" s="1"/>
      <c r="Q226" s="1"/>
      <c r="R226" s="1"/>
      <c r="S226" s="1"/>
    </row>
    <row r="227" spans="1:19" ht="23" customHeight="1">
      <c r="A227" s="1" t="s">
        <v>284</v>
      </c>
      <c r="B227" s="4">
        <v>46084</v>
      </c>
      <c r="C227" s="1" t="s">
        <v>18</v>
      </c>
      <c r="D227" s="1" t="s">
        <v>59</v>
      </c>
      <c r="E227" s="5">
        <v>9000</v>
      </c>
      <c r="F227" s="1">
        <v>1</v>
      </c>
      <c r="G227" s="4">
        <v>46092</v>
      </c>
      <c r="H227" s="4">
        <v>46095</v>
      </c>
      <c r="I227" s="4">
        <v>46098</v>
      </c>
      <c r="J227" s="4"/>
      <c r="K227" s="1" t="s">
        <v>55</v>
      </c>
      <c r="L227" s="1" t="str">
        <f t="shared" si="3"/>
        <v>Branch</v>
      </c>
      <c r="M227" s="1"/>
      <c r="N227" s="1"/>
      <c r="O227" s="1"/>
      <c r="P227" s="1"/>
      <c r="Q227" s="1"/>
      <c r="R227" s="1"/>
      <c r="S227" s="1"/>
    </row>
    <row r="228" spans="1:19" ht="23" customHeight="1">
      <c r="A228" s="1" t="s">
        <v>285</v>
      </c>
      <c r="B228" s="4">
        <v>46064</v>
      </c>
      <c r="C228" s="1" t="s">
        <v>18</v>
      </c>
      <c r="D228" s="1" t="s">
        <v>65</v>
      </c>
      <c r="E228" s="5">
        <v>40000</v>
      </c>
      <c r="F228" s="1">
        <v>0</v>
      </c>
      <c r="G228" s="4">
        <v>46064</v>
      </c>
      <c r="H228" s="4">
        <v>46066</v>
      </c>
      <c r="I228" s="4">
        <v>46068</v>
      </c>
      <c r="J228" s="4"/>
      <c r="K228" s="1" t="s">
        <v>55</v>
      </c>
      <c r="L228" s="1" t="str">
        <f t="shared" si="3"/>
        <v>Branch</v>
      </c>
      <c r="M228" s="1"/>
      <c r="N228" s="1"/>
      <c r="O228" s="1"/>
      <c r="P228" s="1"/>
      <c r="Q228" s="1"/>
      <c r="R228" s="1"/>
      <c r="S228" s="1"/>
    </row>
    <row r="229" spans="1:19" ht="23" customHeight="1">
      <c r="A229" s="1" t="s">
        <v>286</v>
      </c>
      <c r="B229" s="4">
        <v>46062</v>
      </c>
      <c r="C229" s="1" t="s">
        <v>18</v>
      </c>
      <c r="D229" s="1" t="s">
        <v>62</v>
      </c>
      <c r="E229" s="5">
        <v>30000</v>
      </c>
      <c r="F229" s="1">
        <v>1</v>
      </c>
      <c r="G229" s="4">
        <v>46072</v>
      </c>
      <c r="H229" s="4">
        <v>46075</v>
      </c>
      <c r="I229" s="4">
        <v>46078</v>
      </c>
      <c r="J229" s="4"/>
      <c r="K229" s="1" t="s">
        <v>55</v>
      </c>
      <c r="L229" s="1" t="str">
        <f t="shared" si="3"/>
        <v>Branch</v>
      </c>
      <c r="M229" s="1"/>
      <c r="N229" s="1"/>
      <c r="O229" s="1"/>
      <c r="P229" s="1"/>
      <c r="Q229" s="1"/>
      <c r="R229" s="1"/>
      <c r="S229" s="1"/>
    </row>
    <row r="230" spans="1:19" ht="23" customHeight="1">
      <c r="A230" s="1" t="s">
        <v>287</v>
      </c>
      <c r="B230" s="4">
        <v>46089</v>
      </c>
      <c r="C230" s="1" t="s">
        <v>18</v>
      </c>
      <c r="D230" s="1" t="s">
        <v>59</v>
      </c>
      <c r="E230" s="5">
        <v>8000</v>
      </c>
      <c r="F230" s="1">
        <v>1</v>
      </c>
      <c r="G230" s="4"/>
      <c r="H230" s="4"/>
      <c r="I230" s="4"/>
      <c r="J230" s="4">
        <v>46091</v>
      </c>
      <c r="K230" s="1" t="s">
        <v>86</v>
      </c>
      <c r="L230" s="1" t="str">
        <f t="shared" si="3"/>
        <v>Branch</v>
      </c>
      <c r="M230" s="1"/>
      <c r="N230" s="1"/>
      <c r="O230" s="1"/>
      <c r="P230" s="1"/>
      <c r="Q230" s="1"/>
      <c r="R230" s="1"/>
      <c r="S230" s="1"/>
    </row>
    <row r="231" spans="1:19" ht="23" customHeight="1">
      <c r="A231" s="1" t="s">
        <v>288</v>
      </c>
      <c r="B231" s="4">
        <v>46040</v>
      </c>
      <c r="C231" s="1" t="s">
        <v>18</v>
      </c>
      <c r="D231" s="1" t="s">
        <v>71</v>
      </c>
      <c r="E231" s="5">
        <v>8000</v>
      </c>
      <c r="F231" s="1">
        <v>0</v>
      </c>
      <c r="G231" s="4">
        <v>46041</v>
      </c>
      <c r="H231" s="4">
        <v>46042</v>
      </c>
      <c r="I231" s="4">
        <v>46045</v>
      </c>
      <c r="J231" s="4"/>
      <c r="K231" s="1" t="s">
        <v>55</v>
      </c>
      <c r="L231" s="1" t="str">
        <f t="shared" si="3"/>
        <v>Branch</v>
      </c>
      <c r="M231" s="1"/>
      <c r="N231" s="1"/>
      <c r="O231" s="1"/>
      <c r="P231" s="1"/>
      <c r="Q231" s="1"/>
      <c r="R231" s="1"/>
      <c r="S231" s="1"/>
    </row>
    <row r="232" spans="1:19" ht="23" customHeight="1">
      <c r="A232" s="1" t="s">
        <v>289</v>
      </c>
      <c r="B232" s="4">
        <v>46070</v>
      </c>
      <c r="C232" s="1" t="s">
        <v>18</v>
      </c>
      <c r="D232" s="1" t="s">
        <v>59</v>
      </c>
      <c r="E232" s="5">
        <v>11000</v>
      </c>
      <c r="F232" s="1">
        <v>0</v>
      </c>
      <c r="G232" s="4">
        <v>46072</v>
      </c>
      <c r="H232" s="4">
        <v>46078</v>
      </c>
      <c r="I232" s="4">
        <v>46081</v>
      </c>
      <c r="J232" s="4"/>
      <c r="K232" s="1" t="s">
        <v>63</v>
      </c>
      <c r="L232" s="1" t="str">
        <f t="shared" si="3"/>
        <v>Branch</v>
      </c>
      <c r="M232" s="1"/>
      <c r="N232" s="1"/>
      <c r="O232" s="1"/>
      <c r="P232" s="1"/>
      <c r="Q232" s="1"/>
      <c r="R232" s="1"/>
      <c r="S232" s="1"/>
    </row>
    <row r="233" spans="1:19" ht="23" customHeight="1">
      <c r="A233" s="1" t="s">
        <v>290</v>
      </c>
      <c r="B233" s="4">
        <v>46027</v>
      </c>
      <c r="C233" s="1" t="s">
        <v>19</v>
      </c>
      <c r="D233" s="1" t="s">
        <v>54</v>
      </c>
      <c r="E233" s="5">
        <v>21000</v>
      </c>
      <c r="F233" s="1">
        <v>0</v>
      </c>
      <c r="G233" s="4">
        <v>46027</v>
      </c>
      <c r="H233" s="4">
        <v>46028</v>
      </c>
      <c r="I233" s="4">
        <v>46031</v>
      </c>
      <c r="J233" s="4"/>
      <c r="K233" s="1" t="s">
        <v>63</v>
      </c>
      <c r="L233" s="1" t="str">
        <f t="shared" si="3"/>
        <v>Online</v>
      </c>
      <c r="M233" s="1"/>
      <c r="N233" s="1"/>
      <c r="O233" s="1"/>
      <c r="P233" s="1"/>
      <c r="Q233" s="1"/>
      <c r="R233" s="1"/>
      <c r="S233" s="1"/>
    </row>
    <row r="234" spans="1:19" ht="23" customHeight="1">
      <c r="A234" s="1" t="s">
        <v>291</v>
      </c>
      <c r="B234" s="4">
        <v>46069</v>
      </c>
      <c r="C234" s="1" t="s">
        <v>18</v>
      </c>
      <c r="D234" s="1" t="s">
        <v>59</v>
      </c>
      <c r="E234" s="5">
        <v>46000</v>
      </c>
      <c r="F234" s="1">
        <v>1</v>
      </c>
      <c r="G234" s="4">
        <v>46073</v>
      </c>
      <c r="H234" s="4">
        <v>46078</v>
      </c>
      <c r="I234" s="4">
        <v>46079</v>
      </c>
      <c r="J234" s="4"/>
      <c r="K234" s="1" t="s">
        <v>63</v>
      </c>
      <c r="L234" s="1" t="str">
        <f t="shared" si="3"/>
        <v>Branch</v>
      </c>
      <c r="M234" s="1"/>
      <c r="N234" s="1"/>
      <c r="O234" s="1"/>
      <c r="P234" s="1"/>
      <c r="Q234" s="1"/>
      <c r="R234" s="1"/>
      <c r="S234" s="1"/>
    </row>
    <row r="235" spans="1:19" ht="23" customHeight="1">
      <c r="A235" s="1" t="s">
        <v>292</v>
      </c>
      <c r="B235" s="4">
        <v>46028</v>
      </c>
      <c r="C235" s="1" t="s">
        <v>18</v>
      </c>
      <c r="D235" s="1" t="s">
        <v>71</v>
      </c>
      <c r="E235" s="5">
        <v>43000</v>
      </c>
      <c r="F235" s="1">
        <v>1</v>
      </c>
      <c r="G235" s="4"/>
      <c r="H235" s="4"/>
      <c r="I235" s="4"/>
      <c r="J235" s="4">
        <v>46034</v>
      </c>
      <c r="K235" s="1" t="s">
        <v>86</v>
      </c>
      <c r="L235" s="1" t="str">
        <f t="shared" si="3"/>
        <v>Branch</v>
      </c>
      <c r="M235" s="1"/>
      <c r="N235" s="1"/>
      <c r="O235" s="1"/>
      <c r="P235" s="1"/>
      <c r="Q235" s="1"/>
      <c r="R235" s="1"/>
      <c r="S235" s="1"/>
    </row>
    <row r="236" spans="1:19" ht="23" customHeight="1">
      <c r="A236" s="1" t="s">
        <v>293</v>
      </c>
      <c r="B236" s="4">
        <v>46069</v>
      </c>
      <c r="C236" s="1" t="s">
        <v>18</v>
      </c>
      <c r="D236" s="1" t="s">
        <v>71</v>
      </c>
      <c r="E236" s="5">
        <v>34000</v>
      </c>
      <c r="F236" s="1">
        <v>1</v>
      </c>
      <c r="G236" s="4">
        <v>46074</v>
      </c>
      <c r="H236" s="4">
        <v>46076</v>
      </c>
      <c r="I236" s="4">
        <v>46079</v>
      </c>
      <c r="J236" s="4"/>
      <c r="K236" s="1" t="s">
        <v>55</v>
      </c>
      <c r="L236" s="1" t="str">
        <f t="shared" si="3"/>
        <v>Branch</v>
      </c>
      <c r="M236" s="1"/>
      <c r="N236" s="1"/>
      <c r="O236" s="1"/>
      <c r="P236" s="1"/>
      <c r="Q236" s="1"/>
      <c r="R236" s="1"/>
      <c r="S236" s="1"/>
    </row>
    <row r="237" spans="1:19" ht="23" customHeight="1">
      <c r="A237" s="1" t="s">
        <v>294</v>
      </c>
      <c r="B237" s="4">
        <v>46061</v>
      </c>
      <c r="C237" s="1" t="s">
        <v>18</v>
      </c>
      <c r="D237" s="1" t="s">
        <v>71</v>
      </c>
      <c r="E237" s="5">
        <v>42000</v>
      </c>
      <c r="F237" s="1">
        <v>0</v>
      </c>
      <c r="G237" s="4">
        <v>46063</v>
      </c>
      <c r="H237" s="4">
        <v>46066</v>
      </c>
      <c r="I237" s="4">
        <v>46067</v>
      </c>
      <c r="J237" s="4"/>
      <c r="K237" s="1" t="s">
        <v>63</v>
      </c>
      <c r="L237" s="1" t="str">
        <f t="shared" si="3"/>
        <v>Branch</v>
      </c>
      <c r="M237" s="1"/>
      <c r="N237" s="1"/>
      <c r="O237" s="1"/>
      <c r="P237" s="1"/>
      <c r="Q237" s="1"/>
      <c r="R237" s="1"/>
      <c r="S237" s="1"/>
    </row>
    <row r="238" spans="1:19" ht="23" customHeight="1">
      <c r="A238" s="1" t="s">
        <v>295</v>
      </c>
      <c r="B238" s="4">
        <v>46109</v>
      </c>
      <c r="C238" s="1" t="s">
        <v>18</v>
      </c>
      <c r="D238" s="1" t="s">
        <v>71</v>
      </c>
      <c r="E238" s="5">
        <v>12000</v>
      </c>
      <c r="F238" s="1">
        <v>1</v>
      </c>
      <c r="G238" s="4"/>
      <c r="H238" s="4"/>
      <c r="I238" s="4"/>
      <c r="J238" s="4"/>
      <c r="K238" s="1" t="s">
        <v>69</v>
      </c>
      <c r="L238" s="1" t="str">
        <f t="shared" si="3"/>
        <v>Branch</v>
      </c>
      <c r="M238" s="1"/>
      <c r="N238" s="1"/>
      <c r="O238" s="1"/>
      <c r="P238" s="1"/>
      <c r="Q238" s="1"/>
      <c r="R238" s="1"/>
      <c r="S238" s="1"/>
    </row>
    <row r="239" spans="1:19" ht="23" customHeight="1">
      <c r="A239" s="1" t="s">
        <v>296</v>
      </c>
      <c r="B239" s="4">
        <v>46058</v>
      </c>
      <c r="C239" s="1" t="s">
        <v>19</v>
      </c>
      <c r="D239" s="1" t="s">
        <v>54</v>
      </c>
      <c r="E239" s="5">
        <v>37000</v>
      </c>
      <c r="F239" s="1">
        <v>0</v>
      </c>
      <c r="G239" s="4">
        <v>46058</v>
      </c>
      <c r="H239" s="4">
        <v>46060</v>
      </c>
      <c r="I239" s="4">
        <v>46063</v>
      </c>
      <c r="J239" s="4"/>
      <c r="K239" s="1" t="s">
        <v>55</v>
      </c>
      <c r="L239" s="1" t="str">
        <f t="shared" si="3"/>
        <v>Online</v>
      </c>
      <c r="M239" s="1"/>
      <c r="N239" s="1"/>
      <c r="O239" s="1"/>
      <c r="P239" s="1"/>
      <c r="Q239" s="1"/>
      <c r="R239" s="1"/>
      <c r="S239" s="1"/>
    </row>
    <row r="240" spans="1:19" ht="23" customHeight="1">
      <c r="A240" s="1" t="s">
        <v>297</v>
      </c>
      <c r="B240" s="4">
        <v>46062</v>
      </c>
      <c r="C240" s="1" t="s">
        <v>19</v>
      </c>
      <c r="D240" s="1" t="s">
        <v>54</v>
      </c>
      <c r="E240" s="5">
        <v>28000</v>
      </c>
      <c r="F240" s="1">
        <v>0</v>
      </c>
      <c r="G240" s="4">
        <v>46064</v>
      </c>
      <c r="H240" s="4">
        <v>46070</v>
      </c>
      <c r="I240" s="4">
        <v>46071</v>
      </c>
      <c r="J240" s="4"/>
      <c r="K240" s="1" t="s">
        <v>55</v>
      </c>
      <c r="L240" s="1" t="str">
        <f t="shared" si="3"/>
        <v>Online</v>
      </c>
      <c r="M240" s="1"/>
      <c r="N240" s="1"/>
      <c r="O240" s="1"/>
      <c r="P240" s="1"/>
      <c r="Q240" s="1"/>
      <c r="R240" s="1"/>
      <c r="S240" s="1"/>
    </row>
    <row r="241" spans="1:19" ht="23" customHeight="1">
      <c r="A241" s="1" t="s">
        <v>298</v>
      </c>
      <c r="B241" s="4">
        <v>46070</v>
      </c>
      <c r="C241" s="1" t="s">
        <v>19</v>
      </c>
      <c r="D241" s="1" t="s">
        <v>54</v>
      </c>
      <c r="E241" s="5">
        <v>23000</v>
      </c>
      <c r="F241" s="1">
        <v>0</v>
      </c>
      <c r="G241" s="4">
        <v>46071</v>
      </c>
      <c r="H241" s="4">
        <v>46077</v>
      </c>
      <c r="I241" s="4">
        <v>46078</v>
      </c>
      <c r="J241" s="4"/>
      <c r="K241" s="1" t="s">
        <v>55</v>
      </c>
      <c r="L241" s="1" t="str">
        <f t="shared" si="3"/>
        <v>Online</v>
      </c>
      <c r="M241" s="1"/>
      <c r="N241" s="1"/>
      <c r="O241" s="1"/>
      <c r="P241" s="1"/>
      <c r="Q241" s="1"/>
      <c r="R241" s="1"/>
      <c r="S241" s="1"/>
    </row>
    <row r="242" spans="1:19" ht="23" customHeight="1">
      <c r="A242" s="1" t="s">
        <v>299</v>
      </c>
      <c r="B242" s="4">
        <v>46079</v>
      </c>
      <c r="C242" s="1" t="s">
        <v>18</v>
      </c>
      <c r="D242" s="1" t="s">
        <v>62</v>
      </c>
      <c r="E242" s="5">
        <v>38000</v>
      </c>
      <c r="F242" s="1">
        <v>0</v>
      </c>
      <c r="G242" s="4">
        <v>46079</v>
      </c>
      <c r="H242" s="4">
        <v>46086</v>
      </c>
      <c r="I242" s="4">
        <v>46088</v>
      </c>
      <c r="J242" s="4"/>
      <c r="K242" s="1" t="s">
        <v>55</v>
      </c>
      <c r="L242" s="1" t="str">
        <f t="shared" si="3"/>
        <v>Branch</v>
      </c>
      <c r="M242" s="1"/>
      <c r="N242" s="1"/>
      <c r="O242" s="1"/>
      <c r="P242" s="1"/>
      <c r="Q242" s="1"/>
      <c r="R242" s="1"/>
      <c r="S242" s="1"/>
    </row>
    <row r="243" spans="1:19" ht="23" customHeight="1">
      <c r="A243" s="1" t="s">
        <v>300</v>
      </c>
      <c r="B243" s="4">
        <v>46104</v>
      </c>
      <c r="C243" s="1" t="s">
        <v>19</v>
      </c>
      <c r="D243" s="1" t="s">
        <v>54</v>
      </c>
      <c r="E243" s="5">
        <v>33000</v>
      </c>
      <c r="F243" s="1">
        <v>0</v>
      </c>
      <c r="G243" s="4">
        <v>46105</v>
      </c>
      <c r="H243" s="4">
        <v>46111</v>
      </c>
      <c r="I243" s="4">
        <v>46112</v>
      </c>
      <c r="J243" s="4"/>
      <c r="K243" s="1" t="s">
        <v>63</v>
      </c>
      <c r="L243" s="1" t="str">
        <f t="shared" si="3"/>
        <v>Online</v>
      </c>
      <c r="M243" s="1"/>
      <c r="N243" s="1"/>
      <c r="O243" s="1"/>
      <c r="P243" s="1"/>
      <c r="Q243" s="1"/>
      <c r="R243" s="1"/>
      <c r="S243" s="1"/>
    </row>
    <row r="244" spans="1:19" ht="23" customHeight="1">
      <c r="A244" s="1" t="s">
        <v>301</v>
      </c>
      <c r="B244" s="4">
        <v>46093</v>
      </c>
      <c r="C244" s="1" t="s">
        <v>19</v>
      </c>
      <c r="D244" s="1" t="s">
        <v>54</v>
      </c>
      <c r="E244" s="5">
        <v>20000</v>
      </c>
      <c r="F244" s="1">
        <v>0</v>
      </c>
      <c r="G244" s="4">
        <v>46093</v>
      </c>
      <c r="H244" s="4">
        <v>46098</v>
      </c>
      <c r="I244" s="4">
        <v>46100</v>
      </c>
      <c r="J244" s="4"/>
      <c r="K244" s="1" t="s">
        <v>63</v>
      </c>
      <c r="L244" s="1" t="str">
        <f t="shared" si="3"/>
        <v>Online</v>
      </c>
      <c r="M244" s="1"/>
      <c r="N244" s="1"/>
      <c r="O244" s="1"/>
      <c r="P244" s="1"/>
      <c r="Q244" s="1"/>
      <c r="R244" s="1"/>
      <c r="S244" s="1"/>
    </row>
    <row r="245" spans="1:19" ht="23" customHeight="1">
      <c r="A245" s="1" t="s">
        <v>302</v>
      </c>
      <c r="B245" s="4">
        <v>46026</v>
      </c>
      <c r="C245" s="1" t="s">
        <v>18</v>
      </c>
      <c r="D245" s="1" t="s">
        <v>71</v>
      </c>
      <c r="E245" s="5">
        <v>48000</v>
      </c>
      <c r="F245" s="1">
        <v>1</v>
      </c>
      <c r="G245" s="4">
        <v>46035</v>
      </c>
      <c r="H245" s="4">
        <v>46040</v>
      </c>
      <c r="I245" s="4">
        <v>46042</v>
      </c>
      <c r="J245" s="4"/>
      <c r="K245" s="1" t="s">
        <v>55</v>
      </c>
      <c r="L245" s="1" t="str">
        <f t="shared" si="3"/>
        <v>Branch</v>
      </c>
      <c r="M245" s="1"/>
      <c r="N245" s="1"/>
      <c r="O245" s="1"/>
      <c r="P245" s="1"/>
      <c r="Q245" s="1"/>
      <c r="R245" s="1"/>
      <c r="S245" s="1"/>
    </row>
    <row r="246" spans="1:19" ht="23" customHeight="1">
      <c r="A246" s="1" t="s">
        <v>303</v>
      </c>
      <c r="B246" s="4">
        <v>46111</v>
      </c>
      <c r="C246" s="1" t="s">
        <v>18</v>
      </c>
      <c r="D246" s="1" t="s">
        <v>71</v>
      </c>
      <c r="E246" s="5">
        <v>25000</v>
      </c>
      <c r="F246" s="1">
        <v>0</v>
      </c>
      <c r="G246" s="4">
        <v>46112</v>
      </c>
      <c r="H246" s="4"/>
      <c r="I246" s="4"/>
      <c r="J246" s="4"/>
      <c r="K246" s="1" t="s">
        <v>69</v>
      </c>
      <c r="L246" s="1" t="str">
        <f t="shared" si="3"/>
        <v>Branch</v>
      </c>
      <c r="M246" s="1"/>
      <c r="N246" s="1"/>
      <c r="O246" s="1"/>
      <c r="P246" s="1"/>
      <c r="Q246" s="1"/>
      <c r="R246" s="1"/>
      <c r="S246" s="1"/>
    </row>
    <row r="247" spans="1:19" ht="23" customHeight="1">
      <c r="A247" s="1" t="s">
        <v>304</v>
      </c>
      <c r="B247" s="4">
        <v>46097</v>
      </c>
      <c r="C247" s="1" t="s">
        <v>19</v>
      </c>
      <c r="D247" s="1" t="s">
        <v>54</v>
      </c>
      <c r="E247" s="5">
        <v>25000</v>
      </c>
      <c r="F247" s="1">
        <v>0</v>
      </c>
      <c r="G247" s="4">
        <v>46099</v>
      </c>
      <c r="H247" s="4">
        <v>46103</v>
      </c>
      <c r="I247" s="4">
        <v>46106</v>
      </c>
      <c r="J247" s="4"/>
      <c r="K247" s="1" t="s">
        <v>63</v>
      </c>
      <c r="L247" s="1" t="str">
        <f t="shared" si="3"/>
        <v>Online</v>
      </c>
      <c r="M247" s="1"/>
      <c r="N247" s="1"/>
      <c r="O247" s="1"/>
      <c r="P247" s="1"/>
      <c r="Q247" s="1"/>
      <c r="R247" s="1"/>
      <c r="S247" s="1"/>
    </row>
    <row r="248" spans="1:19" ht="23" customHeight="1">
      <c r="A248" s="1" t="s">
        <v>305</v>
      </c>
      <c r="B248" s="4">
        <v>46030</v>
      </c>
      <c r="C248" s="1" t="s">
        <v>19</v>
      </c>
      <c r="D248" s="1" t="s">
        <v>54</v>
      </c>
      <c r="E248" s="5">
        <v>24000</v>
      </c>
      <c r="F248" s="1">
        <v>0</v>
      </c>
      <c r="G248" s="4">
        <v>46031</v>
      </c>
      <c r="H248" s="4">
        <v>46037</v>
      </c>
      <c r="I248" s="4">
        <v>46039</v>
      </c>
      <c r="J248" s="4"/>
      <c r="K248" s="1" t="s">
        <v>55</v>
      </c>
      <c r="L248" s="1" t="str">
        <f t="shared" si="3"/>
        <v>Online</v>
      </c>
      <c r="M248" s="1"/>
      <c r="N248" s="1"/>
      <c r="O248" s="1"/>
      <c r="P248" s="1"/>
      <c r="Q248" s="1"/>
      <c r="R248" s="1"/>
      <c r="S248" s="1"/>
    </row>
    <row r="249" spans="1:19" ht="23" customHeight="1">
      <c r="A249" s="1" t="s">
        <v>306</v>
      </c>
      <c r="B249" s="4">
        <v>46034</v>
      </c>
      <c r="C249" s="1" t="s">
        <v>18</v>
      </c>
      <c r="D249" s="1" t="s">
        <v>65</v>
      </c>
      <c r="E249" s="5">
        <v>49000</v>
      </c>
      <c r="F249" s="1">
        <v>1</v>
      </c>
      <c r="G249" s="4">
        <v>46043</v>
      </c>
      <c r="H249" s="4">
        <v>46044</v>
      </c>
      <c r="I249" s="4">
        <v>46046</v>
      </c>
      <c r="J249" s="4"/>
      <c r="K249" s="1" t="s">
        <v>63</v>
      </c>
      <c r="L249" s="1" t="str">
        <f t="shared" si="3"/>
        <v>Branch</v>
      </c>
      <c r="M249" s="1"/>
      <c r="N249" s="1"/>
      <c r="O249" s="1"/>
      <c r="P249" s="1"/>
      <c r="Q249" s="1"/>
      <c r="R249" s="1"/>
      <c r="S249" s="1"/>
    </row>
    <row r="250" spans="1:19" ht="23" customHeight="1">
      <c r="A250" s="1" t="s">
        <v>307</v>
      </c>
      <c r="B250" s="4">
        <v>46097</v>
      </c>
      <c r="C250" s="1" t="s">
        <v>18</v>
      </c>
      <c r="D250" s="1" t="s">
        <v>71</v>
      </c>
      <c r="E250" s="5">
        <v>14000</v>
      </c>
      <c r="F250" s="1">
        <v>0</v>
      </c>
      <c r="G250" s="4">
        <v>46098</v>
      </c>
      <c r="H250" s="4">
        <v>46102</v>
      </c>
      <c r="I250" s="4">
        <v>46103</v>
      </c>
      <c r="J250" s="4"/>
      <c r="K250" s="1" t="s">
        <v>55</v>
      </c>
      <c r="L250" s="1" t="str">
        <f t="shared" si="3"/>
        <v>Branch</v>
      </c>
      <c r="M250" s="1"/>
      <c r="N250" s="1"/>
      <c r="O250" s="1"/>
      <c r="P250" s="1"/>
      <c r="Q250" s="1"/>
      <c r="R250" s="1"/>
      <c r="S250" s="1"/>
    </row>
    <row r="251" spans="1:19" ht="23" customHeight="1">
      <c r="A251" s="1" t="s">
        <v>308</v>
      </c>
      <c r="B251" s="4">
        <v>46050</v>
      </c>
      <c r="C251" s="1" t="s">
        <v>19</v>
      </c>
      <c r="D251" s="1" t="s">
        <v>54</v>
      </c>
      <c r="E251" s="5">
        <v>31000</v>
      </c>
      <c r="F251" s="1">
        <v>1</v>
      </c>
      <c r="G251" s="4"/>
      <c r="H251" s="4"/>
      <c r="I251" s="4"/>
      <c r="J251" s="4">
        <v>46052</v>
      </c>
      <c r="K251" s="1" t="s">
        <v>86</v>
      </c>
      <c r="L251" s="1" t="str">
        <f t="shared" si="3"/>
        <v>Online</v>
      </c>
      <c r="M251" s="1"/>
      <c r="N251" s="1"/>
      <c r="O251" s="1"/>
      <c r="P251" s="1"/>
      <c r="Q251" s="1"/>
      <c r="R251" s="1"/>
      <c r="S251" s="1"/>
    </row>
    <row r="252" spans="1:19" ht="23" customHeight="1">
      <c r="A252" s="1" t="s">
        <v>309</v>
      </c>
      <c r="B252" s="4">
        <v>46044</v>
      </c>
      <c r="C252" s="1" t="s">
        <v>18</v>
      </c>
      <c r="D252" s="1" t="s">
        <v>65</v>
      </c>
      <c r="E252" s="5">
        <v>39000</v>
      </c>
      <c r="F252" s="1">
        <v>1</v>
      </c>
      <c r="G252" s="4">
        <v>46054</v>
      </c>
      <c r="H252" s="4">
        <v>46057</v>
      </c>
      <c r="I252" s="4">
        <v>46059</v>
      </c>
      <c r="J252" s="4"/>
      <c r="K252" s="1" t="s">
        <v>63</v>
      </c>
      <c r="L252" s="1" t="str">
        <f t="shared" si="3"/>
        <v>Branch</v>
      </c>
      <c r="M252" s="1"/>
      <c r="N252" s="1"/>
      <c r="O252" s="1"/>
      <c r="P252" s="1"/>
      <c r="Q252" s="1"/>
      <c r="R252" s="1"/>
      <c r="S252" s="1"/>
    </row>
    <row r="253" spans="1:19" ht="23" customHeight="1">
      <c r="A253" s="1" t="s">
        <v>310</v>
      </c>
      <c r="B253" s="4">
        <v>46032</v>
      </c>
      <c r="C253" s="1" t="s">
        <v>18</v>
      </c>
      <c r="D253" s="1" t="s">
        <v>59</v>
      </c>
      <c r="E253" s="5">
        <v>44000</v>
      </c>
      <c r="F253" s="1">
        <v>0</v>
      </c>
      <c r="G253" s="4">
        <v>46034</v>
      </c>
      <c r="H253" s="4">
        <v>46038</v>
      </c>
      <c r="I253" s="4">
        <v>46041</v>
      </c>
      <c r="J253" s="4"/>
      <c r="K253" s="1" t="s">
        <v>55</v>
      </c>
      <c r="L253" s="1" t="str">
        <f t="shared" si="3"/>
        <v>Branch</v>
      </c>
      <c r="M253" s="1"/>
      <c r="N253" s="1"/>
      <c r="O253" s="1"/>
      <c r="P253" s="1"/>
      <c r="Q253" s="1"/>
      <c r="R253" s="1"/>
      <c r="S253" s="1"/>
    </row>
    <row r="254" spans="1:19" ht="23" customHeight="1">
      <c r="A254" s="1" t="s">
        <v>311</v>
      </c>
      <c r="B254" s="4">
        <v>46043</v>
      </c>
      <c r="C254" s="1" t="s">
        <v>19</v>
      </c>
      <c r="D254" s="1" t="s">
        <v>54</v>
      </c>
      <c r="E254" s="5">
        <v>27000</v>
      </c>
      <c r="F254" s="1">
        <v>0</v>
      </c>
      <c r="G254" s="4">
        <v>46043</v>
      </c>
      <c r="H254" s="4">
        <v>46049</v>
      </c>
      <c r="I254" s="4">
        <v>46052</v>
      </c>
      <c r="J254" s="4"/>
      <c r="K254" s="1" t="s">
        <v>55</v>
      </c>
      <c r="L254" s="1" t="str">
        <f t="shared" si="3"/>
        <v>Online</v>
      </c>
      <c r="M254" s="1"/>
      <c r="N254" s="1"/>
      <c r="O254" s="1"/>
      <c r="P254" s="1"/>
      <c r="Q254" s="1"/>
      <c r="R254" s="1"/>
      <c r="S254" s="1"/>
    </row>
    <row r="255" spans="1:19" ht="23" customHeight="1">
      <c r="A255" s="1" t="s">
        <v>312</v>
      </c>
      <c r="B255" s="4">
        <v>46065</v>
      </c>
      <c r="C255" s="1" t="s">
        <v>19</v>
      </c>
      <c r="D255" s="1" t="s">
        <v>54</v>
      </c>
      <c r="E255" s="5">
        <v>27000</v>
      </c>
      <c r="F255" s="1">
        <v>0</v>
      </c>
      <c r="G255" s="4">
        <v>46066</v>
      </c>
      <c r="H255" s="4">
        <v>46069</v>
      </c>
      <c r="I255" s="4">
        <v>46072</v>
      </c>
      <c r="J255" s="4"/>
      <c r="K255" s="1" t="s">
        <v>55</v>
      </c>
      <c r="L255" s="1" t="str">
        <f t="shared" si="3"/>
        <v>Online</v>
      </c>
      <c r="M255" s="1"/>
      <c r="N255" s="1"/>
      <c r="O255" s="1"/>
      <c r="P255" s="1"/>
      <c r="Q255" s="1"/>
      <c r="R255" s="1"/>
      <c r="S255" s="1"/>
    </row>
    <row r="256" spans="1:19" ht="23" customHeight="1">
      <c r="A256" s="1" t="s">
        <v>313</v>
      </c>
      <c r="B256" s="4">
        <v>46057</v>
      </c>
      <c r="C256" s="1" t="s">
        <v>18</v>
      </c>
      <c r="D256" s="1" t="s">
        <v>65</v>
      </c>
      <c r="E256" s="5">
        <v>43000</v>
      </c>
      <c r="F256" s="1">
        <v>1</v>
      </c>
      <c r="G256" s="4">
        <v>46064</v>
      </c>
      <c r="H256" s="4">
        <v>46070</v>
      </c>
      <c r="I256" s="4">
        <v>46072</v>
      </c>
      <c r="J256" s="4"/>
      <c r="K256" s="1" t="s">
        <v>55</v>
      </c>
      <c r="L256" s="1" t="str">
        <f t="shared" si="3"/>
        <v>Branch</v>
      </c>
      <c r="M256" s="1"/>
      <c r="N256" s="1"/>
      <c r="O256" s="1"/>
      <c r="P256" s="1"/>
      <c r="Q256" s="1"/>
      <c r="R256" s="1"/>
      <c r="S256" s="1"/>
    </row>
    <row r="257" spans="1:19" ht="23" customHeight="1">
      <c r="A257" s="1" t="s">
        <v>314</v>
      </c>
      <c r="B257" s="4">
        <v>46043</v>
      </c>
      <c r="C257" s="1" t="s">
        <v>18</v>
      </c>
      <c r="D257" s="1" t="s">
        <v>65</v>
      </c>
      <c r="E257" s="5">
        <v>6000</v>
      </c>
      <c r="F257" s="1">
        <v>0</v>
      </c>
      <c r="G257" s="4">
        <v>46044</v>
      </c>
      <c r="H257" s="4">
        <v>46047</v>
      </c>
      <c r="I257" s="4">
        <v>46050</v>
      </c>
      <c r="J257" s="4"/>
      <c r="K257" s="1" t="s">
        <v>55</v>
      </c>
      <c r="L257" s="1" t="str">
        <f t="shared" si="3"/>
        <v>Branch</v>
      </c>
      <c r="M257" s="1"/>
      <c r="N257" s="1"/>
      <c r="O257" s="1"/>
      <c r="P257" s="1"/>
      <c r="Q257" s="1"/>
      <c r="R257" s="1"/>
      <c r="S257" s="1"/>
    </row>
    <row r="258" spans="1:19" ht="23" customHeight="1">
      <c r="A258" s="1" t="s">
        <v>315</v>
      </c>
      <c r="B258" s="4">
        <v>46082</v>
      </c>
      <c r="C258" s="1" t="s">
        <v>18</v>
      </c>
      <c r="D258" s="1" t="s">
        <v>62</v>
      </c>
      <c r="E258" s="5">
        <v>27000</v>
      </c>
      <c r="F258" s="1">
        <v>0</v>
      </c>
      <c r="G258" s="4">
        <v>46084</v>
      </c>
      <c r="H258" s="4">
        <v>46087</v>
      </c>
      <c r="I258" s="4">
        <v>46090</v>
      </c>
      <c r="J258" s="4"/>
      <c r="K258" s="1" t="s">
        <v>55</v>
      </c>
      <c r="L258" s="1" t="str">
        <f t="shared" si="3"/>
        <v>Branch</v>
      </c>
      <c r="M258" s="1"/>
      <c r="N258" s="1"/>
      <c r="O258" s="1"/>
      <c r="P258" s="1"/>
      <c r="Q258" s="1"/>
      <c r="R258" s="1"/>
      <c r="S258" s="1"/>
    </row>
    <row r="259" spans="1:19" ht="23" customHeight="1">
      <c r="A259" s="1" t="s">
        <v>316</v>
      </c>
      <c r="B259" s="4">
        <v>46055</v>
      </c>
      <c r="C259" s="1" t="s">
        <v>19</v>
      </c>
      <c r="D259" s="1" t="s">
        <v>54</v>
      </c>
      <c r="E259" s="5">
        <v>15000</v>
      </c>
      <c r="F259" s="1">
        <v>0</v>
      </c>
      <c r="G259" s="4">
        <v>46057</v>
      </c>
      <c r="H259" s="4">
        <v>46062</v>
      </c>
      <c r="I259" s="4">
        <v>46065</v>
      </c>
      <c r="J259" s="4"/>
      <c r="K259" s="1" t="s">
        <v>55</v>
      </c>
      <c r="L259" s="1" t="str">
        <f t="shared" si="3"/>
        <v>Online</v>
      </c>
      <c r="M259" s="1"/>
      <c r="N259" s="1"/>
      <c r="O259" s="1"/>
      <c r="P259" s="1"/>
      <c r="Q259" s="1"/>
      <c r="R259" s="1"/>
      <c r="S259" s="1"/>
    </row>
    <row r="260" spans="1:19" ht="23" customHeight="1">
      <c r="A260" s="1" t="s">
        <v>317</v>
      </c>
      <c r="B260" s="4">
        <v>46029</v>
      </c>
      <c r="C260" s="1" t="s">
        <v>19</v>
      </c>
      <c r="D260" s="1" t="s">
        <v>54</v>
      </c>
      <c r="E260" s="5">
        <v>30000</v>
      </c>
      <c r="F260" s="1">
        <v>0</v>
      </c>
      <c r="G260" s="4">
        <v>46030</v>
      </c>
      <c r="H260" s="4">
        <v>46035</v>
      </c>
      <c r="I260" s="4">
        <v>46036</v>
      </c>
      <c r="J260" s="4"/>
      <c r="K260" s="1" t="s">
        <v>55</v>
      </c>
      <c r="L260" s="1" t="str">
        <f t="shared" si="3"/>
        <v>Online</v>
      </c>
      <c r="M260" s="1"/>
      <c r="N260" s="1"/>
      <c r="O260" s="1"/>
      <c r="P260" s="1"/>
      <c r="Q260" s="1"/>
      <c r="R260" s="1"/>
      <c r="S260" s="1"/>
    </row>
    <row r="261" spans="1:19" ht="23" customHeight="1">
      <c r="A261" s="1" t="s">
        <v>318</v>
      </c>
      <c r="B261" s="4">
        <v>46095</v>
      </c>
      <c r="C261" s="1" t="s">
        <v>18</v>
      </c>
      <c r="D261" s="1" t="s">
        <v>59</v>
      </c>
      <c r="E261" s="5">
        <v>29000</v>
      </c>
      <c r="F261" s="1">
        <v>1</v>
      </c>
      <c r="G261" s="4">
        <v>46098</v>
      </c>
      <c r="H261" s="4">
        <v>46101</v>
      </c>
      <c r="I261" s="4">
        <v>46102</v>
      </c>
      <c r="J261" s="4"/>
      <c r="K261" s="1" t="s">
        <v>55</v>
      </c>
      <c r="L261" s="1" t="str">
        <f t="shared" ref="L261:L324" si="4">PROPER(TRIM(C261))</f>
        <v>Branch</v>
      </c>
      <c r="M261" s="1"/>
      <c r="N261" s="1"/>
      <c r="O261" s="1"/>
      <c r="P261" s="1"/>
      <c r="Q261" s="1"/>
      <c r="R261" s="1"/>
      <c r="S261" s="1"/>
    </row>
    <row r="262" spans="1:19" ht="23" customHeight="1">
      <c r="A262" s="1" t="s">
        <v>319</v>
      </c>
      <c r="B262" s="4">
        <v>46091</v>
      </c>
      <c r="C262" s="1" t="s">
        <v>18</v>
      </c>
      <c r="D262" s="1" t="s">
        <v>59</v>
      </c>
      <c r="E262" s="5">
        <v>23000</v>
      </c>
      <c r="F262" s="1">
        <v>1</v>
      </c>
      <c r="G262" s="4">
        <v>46098</v>
      </c>
      <c r="H262" s="4">
        <v>46103</v>
      </c>
      <c r="I262" s="4">
        <v>46106</v>
      </c>
      <c r="J262" s="4"/>
      <c r="K262" s="1" t="s">
        <v>63</v>
      </c>
      <c r="L262" s="1" t="str">
        <f t="shared" si="4"/>
        <v>Branch</v>
      </c>
      <c r="M262" s="1"/>
      <c r="N262" s="1"/>
      <c r="O262" s="1"/>
      <c r="P262" s="1"/>
      <c r="Q262" s="1"/>
      <c r="R262" s="1"/>
      <c r="S262" s="1"/>
    </row>
    <row r="263" spans="1:19" ht="23" customHeight="1">
      <c r="A263" s="1" t="s">
        <v>320</v>
      </c>
      <c r="B263" s="4">
        <v>46083</v>
      </c>
      <c r="C263" s="1" t="s">
        <v>19</v>
      </c>
      <c r="D263" s="1" t="s">
        <v>54</v>
      </c>
      <c r="E263" s="5">
        <v>18000</v>
      </c>
      <c r="F263" s="1">
        <v>1</v>
      </c>
      <c r="G263" s="4">
        <v>46090</v>
      </c>
      <c r="H263" s="4">
        <v>46094</v>
      </c>
      <c r="I263" s="4">
        <v>46097</v>
      </c>
      <c r="J263" s="4"/>
      <c r="K263" s="1" t="s">
        <v>55</v>
      </c>
      <c r="L263" s="1" t="str">
        <f t="shared" si="4"/>
        <v>Online</v>
      </c>
      <c r="M263" s="1"/>
      <c r="N263" s="1"/>
      <c r="O263" s="1"/>
      <c r="P263" s="1"/>
      <c r="Q263" s="1"/>
      <c r="R263" s="1"/>
      <c r="S263" s="1"/>
    </row>
    <row r="264" spans="1:19" ht="23" customHeight="1">
      <c r="A264" s="1" t="s">
        <v>321</v>
      </c>
      <c r="B264" s="4">
        <v>46101</v>
      </c>
      <c r="C264" s="1" t="s">
        <v>19</v>
      </c>
      <c r="D264" s="1" t="s">
        <v>54</v>
      </c>
      <c r="E264" s="5">
        <v>19000</v>
      </c>
      <c r="F264" s="1">
        <v>0</v>
      </c>
      <c r="G264" s="4">
        <v>46101</v>
      </c>
      <c r="H264" s="4">
        <v>46105</v>
      </c>
      <c r="I264" s="4">
        <v>46108</v>
      </c>
      <c r="J264" s="4"/>
      <c r="K264" s="1" t="s">
        <v>55</v>
      </c>
      <c r="L264" s="1" t="str">
        <f t="shared" si="4"/>
        <v>Online</v>
      </c>
      <c r="M264" s="1"/>
      <c r="N264" s="1"/>
      <c r="O264" s="1"/>
      <c r="P264" s="1"/>
      <c r="Q264" s="1"/>
      <c r="R264" s="1"/>
      <c r="S264" s="1"/>
    </row>
    <row r="265" spans="1:19" ht="23" customHeight="1">
      <c r="A265" s="1" t="s">
        <v>322</v>
      </c>
      <c r="B265" s="4">
        <v>46103</v>
      </c>
      <c r="C265" s="1" t="s">
        <v>19</v>
      </c>
      <c r="D265" s="1" t="s">
        <v>54</v>
      </c>
      <c r="E265" s="5">
        <v>6000</v>
      </c>
      <c r="F265" s="1">
        <v>0</v>
      </c>
      <c r="G265" s="4">
        <v>46103</v>
      </c>
      <c r="H265" s="4">
        <v>46108</v>
      </c>
      <c r="I265" s="4">
        <v>46111</v>
      </c>
      <c r="J265" s="4"/>
      <c r="K265" s="1" t="s">
        <v>55</v>
      </c>
      <c r="L265" s="1" t="str">
        <f t="shared" si="4"/>
        <v>Online</v>
      </c>
      <c r="M265" s="1"/>
      <c r="N265" s="1"/>
      <c r="O265" s="1"/>
      <c r="P265" s="1"/>
      <c r="Q265" s="1"/>
      <c r="R265" s="1"/>
      <c r="S265" s="1"/>
    </row>
    <row r="266" spans="1:19" ht="23" customHeight="1">
      <c r="A266" s="1" t="s">
        <v>323</v>
      </c>
      <c r="B266" s="4">
        <v>46044</v>
      </c>
      <c r="C266" s="1" t="s">
        <v>18</v>
      </c>
      <c r="D266" s="1" t="s">
        <v>62</v>
      </c>
      <c r="E266" s="5">
        <v>7000</v>
      </c>
      <c r="F266" s="1">
        <v>1</v>
      </c>
      <c r="G266" s="4"/>
      <c r="H266" s="4"/>
      <c r="I266" s="4"/>
      <c r="J266" s="4">
        <v>46049</v>
      </c>
      <c r="K266" s="1" t="s">
        <v>86</v>
      </c>
      <c r="L266" s="1" t="str">
        <f t="shared" si="4"/>
        <v>Branch</v>
      </c>
      <c r="M266" s="1"/>
      <c r="N266" s="1"/>
      <c r="O266" s="1"/>
      <c r="P266" s="1"/>
      <c r="Q266" s="1"/>
      <c r="R266" s="1"/>
      <c r="S266" s="1"/>
    </row>
    <row r="267" spans="1:19" ht="23" customHeight="1">
      <c r="A267" s="1" t="s">
        <v>324</v>
      </c>
      <c r="B267" s="4">
        <v>46044</v>
      </c>
      <c r="C267" s="1" t="s">
        <v>18</v>
      </c>
      <c r="D267" s="1" t="s">
        <v>59</v>
      </c>
      <c r="E267" s="5">
        <v>25000</v>
      </c>
      <c r="F267" s="1">
        <v>0</v>
      </c>
      <c r="G267" s="4">
        <v>46044</v>
      </c>
      <c r="H267" s="4">
        <v>46050</v>
      </c>
      <c r="I267" s="4">
        <v>46052</v>
      </c>
      <c r="J267" s="4"/>
      <c r="K267" s="1" t="s">
        <v>55</v>
      </c>
      <c r="L267" s="1" t="str">
        <f t="shared" si="4"/>
        <v>Branch</v>
      </c>
      <c r="M267" s="1"/>
      <c r="N267" s="1"/>
      <c r="O267" s="1"/>
      <c r="P267" s="1"/>
      <c r="Q267" s="1"/>
      <c r="R267" s="1"/>
      <c r="S267" s="1"/>
    </row>
    <row r="268" spans="1:19" ht="23" customHeight="1">
      <c r="A268" s="1" t="s">
        <v>325</v>
      </c>
      <c r="B268" s="4">
        <v>46089</v>
      </c>
      <c r="C268" s="1" t="s">
        <v>19</v>
      </c>
      <c r="D268" s="1" t="s">
        <v>54</v>
      </c>
      <c r="E268" s="5">
        <v>6000</v>
      </c>
      <c r="F268" s="1">
        <v>1</v>
      </c>
      <c r="G268" s="4">
        <v>46092</v>
      </c>
      <c r="H268" s="4">
        <v>46094</v>
      </c>
      <c r="I268" s="4">
        <v>46095</v>
      </c>
      <c r="J268" s="4"/>
      <c r="K268" s="1" t="s">
        <v>55</v>
      </c>
      <c r="L268" s="1" t="str">
        <f t="shared" si="4"/>
        <v>Online</v>
      </c>
      <c r="M268" s="1"/>
      <c r="N268" s="1"/>
      <c r="O268" s="1"/>
      <c r="P268" s="1"/>
      <c r="Q268" s="1"/>
      <c r="R268" s="1"/>
      <c r="S268" s="1"/>
    </row>
    <row r="269" spans="1:19" ht="23" customHeight="1">
      <c r="A269" s="1" t="s">
        <v>326</v>
      </c>
      <c r="B269" s="4">
        <v>46074</v>
      </c>
      <c r="C269" s="1" t="s">
        <v>18</v>
      </c>
      <c r="D269" s="1" t="s">
        <v>71</v>
      </c>
      <c r="E269" s="5">
        <v>43000</v>
      </c>
      <c r="F269" s="1">
        <v>0</v>
      </c>
      <c r="G269" s="4">
        <v>46075</v>
      </c>
      <c r="H269" s="4">
        <v>46079</v>
      </c>
      <c r="I269" s="4">
        <v>46081</v>
      </c>
      <c r="J269" s="4"/>
      <c r="K269" s="1" t="s">
        <v>55</v>
      </c>
      <c r="L269" s="1" t="str">
        <f t="shared" si="4"/>
        <v>Branch</v>
      </c>
      <c r="M269" s="1"/>
      <c r="N269" s="1"/>
      <c r="O269" s="1"/>
      <c r="P269" s="1"/>
      <c r="Q269" s="1"/>
      <c r="R269" s="1"/>
      <c r="S269" s="1"/>
    </row>
    <row r="270" spans="1:19" ht="23" customHeight="1">
      <c r="A270" s="1" t="s">
        <v>327</v>
      </c>
      <c r="B270" s="4">
        <v>46036</v>
      </c>
      <c r="C270" s="1" t="s">
        <v>18</v>
      </c>
      <c r="D270" s="1" t="s">
        <v>71</v>
      </c>
      <c r="E270" s="5">
        <v>43000</v>
      </c>
      <c r="F270" s="1">
        <v>0</v>
      </c>
      <c r="G270" s="4">
        <v>46038</v>
      </c>
      <c r="H270" s="4">
        <v>46040</v>
      </c>
      <c r="I270" s="4">
        <v>46043</v>
      </c>
      <c r="J270" s="4"/>
      <c r="K270" s="1" t="s">
        <v>55</v>
      </c>
      <c r="L270" s="1" t="str">
        <f t="shared" si="4"/>
        <v>Branch</v>
      </c>
      <c r="M270" s="1"/>
      <c r="N270" s="1"/>
      <c r="O270" s="1"/>
      <c r="P270" s="1"/>
      <c r="Q270" s="1"/>
      <c r="R270" s="1"/>
      <c r="S270" s="1"/>
    </row>
    <row r="271" spans="1:19" ht="23" customHeight="1">
      <c r="A271" s="1" t="s">
        <v>328</v>
      </c>
      <c r="B271" s="4">
        <v>46108</v>
      </c>
      <c r="C271" s="1" t="s">
        <v>18</v>
      </c>
      <c r="D271" s="1" t="s">
        <v>65</v>
      </c>
      <c r="E271" s="5">
        <v>27000</v>
      </c>
      <c r="F271" s="1">
        <v>0</v>
      </c>
      <c r="G271" s="4">
        <v>46109</v>
      </c>
      <c r="H271" s="4">
        <v>46111</v>
      </c>
      <c r="I271" s="4">
        <v>46112</v>
      </c>
      <c r="J271" s="4"/>
      <c r="K271" s="1" t="s">
        <v>55</v>
      </c>
      <c r="L271" s="1" t="str">
        <f t="shared" si="4"/>
        <v>Branch</v>
      </c>
      <c r="M271" s="1"/>
      <c r="N271" s="1"/>
      <c r="O271" s="1"/>
      <c r="P271" s="1"/>
      <c r="Q271" s="1"/>
      <c r="R271" s="1"/>
      <c r="S271" s="1"/>
    </row>
    <row r="272" spans="1:19" ht="23" customHeight="1">
      <c r="A272" s="1" t="s">
        <v>329</v>
      </c>
      <c r="B272" s="4">
        <v>46051</v>
      </c>
      <c r="C272" s="1" t="s">
        <v>18</v>
      </c>
      <c r="D272" s="1" t="s">
        <v>65</v>
      </c>
      <c r="E272" s="5">
        <v>16000</v>
      </c>
      <c r="F272" s="1">
        <v>1</v>
      </c>
      <c r="G272" s="4">
        <v>46060</v>
      </c>
      <c r="H272" s="4">
        <v>46063</v>
      </c>
      <c r="I272" s="4">
        <v>46064</v>
      </c>
      <c r="J272" s="4"/>
      <c r="K272" s="1" t="s">
        <v>63</v>
      </c>
      <c r="L272" s="1" t="str">
        <f t="shared" si="4"/>
        <v>Branch</v>
      </c>
      <c r="M272" s="1"/>
      <c r="N272" s="1"/>
      <c r="O272" s="1"/>
      <c r="P272" s="1"/>
      <c r="Q272" s="1"/>
      <c r="R272" s="1"/>
      <c r="S272" s="1"/>
    </row>
    <row r="273" spans="1:19" ht="23" customHeight="1">
      <c r="A273" s="1" t="s">
        <v>330</v>
      </c>
      <c r="B273" s="4">
        <v>46109</v>
      </c>
      <c r="C273" s="1" t="s">
        <v>19</v>
      </c>
      <c r="D273" s="1" t="s">
        <v>54</v>
      </c>
      <c r="E273" s="5">
        <v>39000</v>
      </c>
      <c r="F273" s="1">
        <v>0</v>
      </c>
      <c r="G273" s="4">
        <v>46110</v>
      </c>
      <c r="H273" s="4"/>
      <c r="I273" s="4"/>
      <c r="J273" s="4"/>
      <c r="K273" s="1" t="s">
        <v>69</v>
      </c>
      <c r="L273" s="1" t="str">
        <f t="shared" si="4"/>
        <v>Online</v>
      </c>
      <c r="M273" s="1"/>
      <c r="N273" s="1"/>
      <c r="O273" s="1"/>
      <c r="P273" s="1"/>
      <c r="Q273" s="1"/>
      <c r="R273" s="1"/>
      <c r="S273" s="1"/>
    </row>
    <row r="274" spans="1:19" ht="23" customHeight="1">
      <c r="A274" s="1" t="s">
        <v>331</v>
      </c>
      <c r="B274" s="4">
        <v>46056</v>
      </c>
      <c r="C274" s="1" t="s">
        <v>18</v>
      </c>
      <c r="D274" s="1" t="s">
        <v>62</v>
      </c>
      <c r="E274" s="5">
        <v>21000</v>
      </c>
      <c r="F274" s="1">
        <v>0</v>
      </c>
      <c r="G274" s="4">
        <v>46057</v>
      </c>
      <c r="H274" s="4">
        <v>46065</v>
      </c>
      <c r="I274" s="4">
        <v>46067</v>
      </c>
      <c r="J274" s="4"/>
      <c r="K274" s="1" t="s">
        <v>55</v>
      </c>
      <c r="L274" s="1" t="str">
        <f t="shared" si="4"/>
        <v>Branch</v>
      </c>
      <c r="M274" s="1"/>
      <c r="N274" s="1"/>
      <c r="O274" s="1"/>
      <c r="P274" s="1"/>
      <c r="Q274" s="1"/>
      <c r="R274" s="1"/>
      <c r="S274" s="1"/>
    </row>
    <row r="275" spans="1:19" ht="23" customHeight="1">
      <c r="A275" s="1" t="s">
        <v>332</v>
      </c>
      <c r="B275" s="4">
        <v>46110</v>
      </c>
      <c r="C275" s="1" t="s">
        <v>19</v>
      </c>
      <c r="D275" s="1" t="s">
        <v>54</v>
      </c>
      <c r="E275" s="5">
        <v>43000</v>
      </c>
      <c r="F275" s="1">
        <v>1</v>
      </c>
      <c r="G275" s="4"/>
      <c r="H275" s="4"/>
      <c r="I275" s="4"/>
      <c r="J275" s="4">
        <v>46111</v>
      </c>
      <c r="K275" s="1" t="s">
        <v>86</v>
      </c>
      <c r="L275" s="1" t="str">
        <f t="shared" si="4"/>
        <v>Online</v>
      </c>
      <c r="M275" s="1"/>
      <c r="N275" s="1"/>
      <c r="O275" s="1"/>
      <c r="P275" s="1"/>
      <c r="Q275" s="1"/>
      <c r="R275" s="1"/>
      <c r="S275" s="1"/>
    </row>
    <row r="276" spans="1:19" ht="23" customHeight="1">
      <c r="A276" s="1" t="s">
        <v>333</v>
      </c>
      <c r="B276" s="4">
        <v>46105</v>
      </c>
      <c r="C276" s="1" t="s">
        <v>18</v>
      </c>
      <c r="D276" s="1" t="s">
        <v>62</v>
      </c>
      <c r="E276" s="5">
        <v>28000</v>
      </c>
      <c r="F276" s="1">
        <v>1</v>
      </c>
      <c r="G276" s="4"/>
      <c r="H276" s="4"/>
      <c r="I276" s="4"/>
      <c r="J276" s="4">
        <v>46107</v>
      </c>
      <c r="K276" s="1" t="s">
        <v>86</v>
      </c>
      <c r="L276" s="1" t="str">
        <f t="shared" si="4"/>
        <v>Branch</v>
      </c>
      <c r="M276" s="1"/>
      <c r="N276" s="1"/>
      <c r="O276" s="1"/>
      <c r="P276" s="1"/>
      <c r="Q276" s="1"/>
      <c r="R276" s="1"/>
      <c r="S276" s="1"/>
    </row>
    <row r="277" spans="1:19" ht="23" customHeight="1">
      <c r="A277" s="1" t="s">
        <v>334</v>
      </c>
      <c r="B277" s="4">
        <v>46112</v>
      </c>
      <c r="C277" s="1" t="s">
        <v>19</v>
      </c>
      <c r="D277" s="1" t="s">
        <v>54</v>
      </c>
      <c r="E277" s="5">
        <v>24000</v>
      </c>
      <c r="F277" s="1">
        <v>0</v>
      </c>
      <c r="G277" s="4">
        <v>46112</v>
      </c>
      <c r="H277" s="4"/>
      <c r="I277" s="4"/>
      <c r="J277" s="4"/>
      <c r="K277" s="1" t="s">
        <v>69</v>
      </c>
      <c r="L277" s="1" t="str">
        <f t="shared" si="4"/>
        <v>Online</v>
      </c>
      <c r="M277" s="1"/>
      <c r="N277" s="1"/>
      <c r="O277" s="1"/>
      <c r="P277" s="1"/>
      <c r="Q277" s="1"/>
      <c r="R277" s="1"/>
      <c r="S277" s="1"/>
    </row>
    <row r="278" spans="1:19" ht="23" customHeight="1">
      <c r="A278" s="1" t="s">
        <v>335</v>
      </c>
      <c r="B278" s="4">
        <v>46047</v>
      </c>
      <c r="C278" s="1" t="s">
        <v>18</v>
      </c>
      <c r="D278" s="1" t="s">
        <v>62</v>
      </c>
      <c r="E278" s="5">
        <v>26000</v>
      </c>
      <c r="F278" s="1">
        <v>0</v>
      </c>
      <c r="G278" s="4">
        <v>46049</v>
      </c>
      <c r="H278" s="4">
        <v>46056</v>
      </c>
      <c r="I278" s="4">
        <v>46057</v>
      </c>
      <c r="J278" s="4"/>
      <c r="K278" s="1" t="s">
        <v>55</v>
      </c>
      <c r="L278" s="1" t="str">
        <f t="shared" si="4"/>
        <v>Branch</v>
      </c>
      <c r="M278" s="1"/>
      <c r="N278" s="1"/>
      <c r="O278" s="1"/>
      <c r="P278" s="1"/>
      <c r="Q278" s="1"/>
      <c r="R278" s="1"/>
      <c r="S278" s="1"/>
    </row>
    <row r="279" spans="1:19" ht="23" customHeight="1">
      <c r="A279" s="1" t="s">
        <v>336</v>
      </c>
      <c r="B279" s="4">
        <v>46101</v>
      </c>
      <c r="C279" s="1" t="s">
        <v>18</v>
      </c>
      <c r="D279" s="1" t="s">
        <v>65</v>
      </c>
      <c r="E279" s="5">
        <v>22000</v>
      </c>
      <c r="F279" s="1">
        <v>0</v>
      </c>
      <c r="G279" s="4">
        <v>46101</v>
      </c>
      <c r="H279" s="4">
        <v>46104</v>
      </c>
      <c r="I279" s="4">
        <v>46107</v>
      </c>
      <c r="J279" s="4"/>
      <c r="K279" s="1" t="s">
        <v>55</v>
      </c>
      <c r="L279" s="1" t="str">
        <f t="shared" si="4"/>
        <v>Branch</v>
      </c>
      <c r="M279" s="1"/>
      <c r="N279" s="1"/>
      <c r="O279" s="1"/>
      <c r="P279" s="1"/>
      <c r="Q279" s="1"/>
      <c r="R279" s="1"/>
      <c r="S279" s="1"/>
    </row>
    <row r="280" spans="1:19" ht="23" customHeight="1">
      <c r="A280" s="1" t="s">
        <v>337</v>
      </c>
      <c r="B280" s="4">
        <v>46043</v>
      </c>
      <c r="C280" s="1" t="s">
        <v>18</v>
      </c>
      <c r="D280" s="1" t="s">
        <v>71</v>
      </c>
      <c r="E280" s="5">
        <v>5000</v>
      </c>
      <c r="F280" s="1">
        <v>0</v>
      </c>
      <c r="G280" s="4">
        <v>46044</v>
      </c>
      <c r="H280" s="4">
        <v>46045</v>
      </c>
      <c r="I280" s="4">
        <v>46048</v>
      </c>
      <c r="J280" s="4"/>
      <c r="K280" s="1" t="s">
        <v>55</v>
      </c>
      <c r="L280" s="1" t="str">
        <f t="shared" si="4"/>
        <v>Branch</v>
      </c>
      <c r="M280" s="1"/>
      <c r="N280" s="1"/>
      <c r="O280" s="1"/>
      <c r="P280" s="1"/>
      <c r="Q280" s="1"/>
      <c r="R280" s="1"/>
      <c r="S280" s="1"/>
    </row>
    <row r="281" spans="1:19" ht="23" customHeight="1">
      <c r="A281" s="1" t="s">
        <v>338</v>
      </c>
      <c r="B281" s="4">
        <v>46054</v>
      </c>
      <c r="C281" s="1" t="s">
        <v>19</v>
      </c>
      <c r="D281" s="1" t="s">
        <v>54</v>
      </c>
      <c r="E281" s="5">
        <v>34000</v>
      </c>
      <c r="F281" s="1">
        <v>0</v>
      </c>
      <c r="G281" s="4">
        <v>46055</v>
      </c>
      <c r="H281" s="4">
        <v>46056</v>
      </c>
      <c r="I281" s="4">
        <v>46059</v>
      </c>
      <c r="J281" s="4"/>
      <c r="K281" s="1" t="s">
        <v>55</v>
      </c>
      <c r="L281" s="1" t="str">
        <f t="shared" si="4"/>
        <v>Online</v>
      </c>
      <c r="M281" s="1"/>
      <c r="N281" s="1"/>
      <c r="O281" s="1"/>
      <c r="P281" s="1"/>
      <c r="Q281" s="1"/>
      <c r="R281" s="1"/>
      <c r="S281" s="1"/>
    </row>
    <row r="282" spans="1:19" ht="23" customHeight="1">
      <c r="A282" s="1" t="s">
        <v>339</v>
      </c>
      <c r="B282" s="4">
        <v>46058</v>
      </c>
      <c r="C282" s="1" t="s">
        <v>18</v>
      </c>
      <c r="D282" s="1" t="s">
        <v>62</v>
      </c>
      <c r="E282" s="5">
        <v>39000</v>
      </c>
      <c r="F282" s="1">
        <v>0</v>
      </c>
      <c r="G282" s="4">
        <v>46058</v>
      </c>
      <c r="H282" s="4">
        <v>46064</v>
      </c>
      <c r="I282" s="4">
        <v>46066</v>
      </c>
      <c r="J282" s="4"/>
      <c r="K282" s="1" t="s">
        <v>55</v>
      </c>
      <c r="L282" s="1" t="str">
        <f t="shared" si="4"/>
        <v>Branch</v>
      </c>
      <c r="M282" s="1"/>
      <c r="N282" s="1"/>
      <c r="O282" s="1"/>
      <c r="P282" s="1"/>
      <c r="Q282" s="1"/>
      <c r="R282" s="1"/>
      <c r="S282" s="1"/>
    </row>
    <row r="283" spans="1:19" ht="23" customHeight="1">
      <c r="A283" s="1" t="s">
        <v>340</v>
      </c>
      <c r="B283" s="4">
        <v>46045</v>
      </c>
      <c r="C283" s="1" t="s">
        <v>18</v>
      </c>
      <c r="D283" s="1" t="s">
        <v>59</v>
      </c>
      <c r="E283" s="5">
        <v>44000</v>
      </c>
      <c r="F283" s="1">
        <v>1</v>
      </c>
      <c r="G283" s="4">
        <v>46054</v>
      </c>
      <c r="H283" s="4">
        <v>46058</v>
      </c>
      <c r="I283" s="4">
        <v>46059</v>
      </c>
      <c r="J283" s="4"/>
      <c r="K283" s="1" t="s">
        <v>55</v>
      </c>
      <c r="L283" s="1" t="str">
        <f t="shared" si="4"/>
        <v>Branch</v>
      </c>
      <c r="M283" s="1"/>
      <c r="N283" s="1"/>
      <c r="O283" s="1"/>
      <c r="P283" s="1"/>
      <c r="Q283" s="1"/>
      <c r="R283" s="1"/>
      <c r="S283" s="1"/>
    </row>
    <row r="284" spans="1:19" ht="23" customHeight="1">
      <c r="A284" s="1" t="s">
        <v>341</v>
      </c>
      <c r="B284" s="4">
        <v>46040</v>
      </c>
      <c r="C284" s="1" t="s">
        <v>18</v>
      </c>
      <c r="D284" s="1" t="s">
        <v>59</v>
      </c>
      <c r="E284" s="5">
        <v>37000</v>
      </c>
      <c r="F284" s="1">
        <v>0</v>
      </c>
      <c r="G284" s="4">
        <v>46042</v>
      </c>
      <c r="H284" s="4">
        <v>46048</v>
      </c>
      <c r="I284" s="4">
        <v>46049</v>
      </c>
      <c r="J284" s="4"/>
      <c r="K284" s="1" t="s">
        <v>55</v>
      </c>
      <c r="L284" s="1" t="str">
        <f t="shared" si="4"/>
        <v>Branch</v>
      </c>
      <c r="M284" s="1"/>
      <c r="N284" s="1"/>
      <c r="O284" s="1"/>
      <c r="P284" s="1"/>
      <c r="Q284" s="1"/>
      <c r="R284" s="1"/>
      <c r="S284" s="1"/>
    </row>
    <row r="285" spans="1:19" ht="23" customHeight="1">
      <c r="A285" s="1" t="s">
        <v>342</v>
      </c>
      <c r="B285" s="4">
        <v>46036</v>
      </c>
      <c r="C285" s="1" t="s">
        <v>18</v>
      </c>
      <c r="D285" s="1" t="s">
        <v>71</v>
      </c>
      <c r="E285" s="5">
        <v>50000</v>
      </c>
      <c r="F285" s="1">
        <v>0</v>
      </c>
      <c r="G285" s="4">
        <v>46037</v>
      </c>
      <c r="H285" s="4">
        <v>46041</v>
      </c>
      <c r="I285" s="4">
        <v>46043</v>
      </c>
      <c r="J285" s="4"/>
      <c r="K285" s="1" t="s">
        <v>63</v>
      </c>
      <c r="L285" s="1" t="str">
        <f t="shared" si="4"/>
        <v>Branch</v>
      </c>
      <c r="M285" s="1"/>
      <c r="N285" s="1"/>
      <c r="O285" s="1"/>
      <c r="P285" s="1"/>
      <c r="Q285" s="1"/>
      <c r="R285" s="1"/>
      <c r="S285" s="1"/>
    </row>
    <row r="286" spans="1:19" ht="23" customHeight="1">
      <c r="A286" s="1" t="s">
        <v>343</v>
      </c>
      <c r="B286" s="4">
        <v>46089</v>
      </c>
      <c r="C286" s="1" t="s">
        <v>18</v>
      </c>
      <c r="D286" s="1" t="s">
        <v>62</v>
      </c>
      <c r="E286" s="5">
        <v>21000</v>
      </c>
      <c r="F286" s="1">
        <v>1</v>
      </c>
      <c r="G286" s="4"/>
      <c r="H286" s="4"/>
      <c r="I286" s="4"/>
      <c r="J286" s="4">
        <v>46094</v>
      </c>
      <c r="K286" s="1" t="s">
        <v>86</v>
      </c>
      <c r="L286" s="1" t="str">
        <f t="shared" si="4"/>
        <v>Branch</v>
      </c>
      <c r="M286" s="1"/>
      <c r="N286" s="1"/>
      <c r="O286" s="1"/>
      <c r="P286" s="1"/>
      <c r="Q286" s="1"/>
      <c r="R286" s="1"/>
      <c r="S286" s="1"/>
    </row>
    <row r="287" spans="1:19" ht="23" customHeight="1">
      <c r="A287" s="1" t="s">
        <v>344</v>
      </c>
      <c r="B287" s="4">
        <v>46039</v>
      </c>
      <c r="C287" s="1" t="s">
        <v>19</v>
      </c>
      <c r="D287" s="1" t="s">
        <v>54</v>
      </c>
      <c r="E287" s="5">
        <v>37000</v>
      </c>
      <c r="F287" s="1">
        <v>0</v>
      </c>
      <c r="G287" s="4">
        <v>46039</v>
      </c>
      <c r="H287" s="4">
        <v>46040</v>
      </c>
      <c r="I287" s="4">
        <v>46042</v>
      </c>
      <c r="J287" s="4"/>
      <c r="K287" s="1" t="s">
        <v>55</v>
      </c>
      <c r="L287" s="1" t="str">
        <f t="shared" si="4"/>
        <v>Online</v>
      </c>
      <c r="M287" s="1"/>
      <c r="N287" s="1"/>
      <c r="O287" s="1"/>
      <c r="P287" s="1"/>
      <c r="Q287" s="1"/>
      <c r="R287" s="1"/>
      <c r="S287" s="1"/>
    </row>
    <row r="288" spans="1:19" ht="23" customHeight="1">
      <c r="A288" s="1" t="s">
        <v>345</v>
      </c>
      <c r="B288" s="4">
        <v>46088</v>
      </c>
      <c r="C288" s="1" t="s">
        <v>18</v>
      </c>
      <c r="D288" s="1" t="s">
        <v>59</v>
      </c>
      <c r="E288" s="5">
        <v>14000</v>
      </c>
      <c r="F288" s="1">
        <v>0</v>
      </c>
      <c r="G288" s="4">
        <v>46089</v>
      </c>
      <c r="H288" s="4">
        <v>46095</v>
      </c>
      <c r="I288" s="4">
        <v>46098</v>
      </c>
      <c r="J288" s="4"/>
      <c r="K288" s="1" t="s">
        <v>55</v>
      </c>
      <c r="L288" s="1" t="str">
        <f t="shared" si="4"/>
        <v>Branch</v>
      </c>
      <c r="M288" s="1"/>
      <c r="N288" s="1"/>
      <c r="O288" s="1"/>
      <c r="P288" s="1"/>
      <c r="Q288" s="1"/>
      <c r="R288" s="1"/>
      <c r="S288" s="1"/>
    </row>
    <row r="289" spans="1:19" ht="23" customHeight="1">
      <c r="A289" s="1" t="s">
        <v>346</v>
      </c>
      <c r="B289" s="4">
        <v>46076</v>
      </c>
      <c r="C289" s="1" t="s">
        <v>18</v>
      </c>
      <c r="D289" s="1" t="s">
        <v>62</v>
      </c>
      <c r="E289" s="5">
        <v>14000</v>
      </c>
      <c r="F289" s="1">
        <v>1</v>
      </c>
      <c r="G289" s="4">
        <v>46084</v>
      </c>
      <c r="H289" s="4">
        <v>46092</v>
      </c>
      <c r="I289" s="4">
        <v>46094</v>
      </c>
      <c r="J289" s="4"/>
      <c r="K289" s="1" t="s">
        <v>55</v>
      </c>
      <c r="L289" s="1" t="str">
        <f t="shared" si="4"/>
        <v>Branch</v>
      </c>
      <c r="M289" s="1"/>
      <c r="N289" s="1"/>
      <c r="O289" s="1"/>
      <c r="P289" s="1"/>
      <c r="Q289" s="1"/>
      <c r="R289" s="1"/>
      <c r="S289" s="1"/>
    </row>
    <row r="290" spans="1:19" ht="23" customHeight="1">
      <c r="A290" s="1" t="s">
        <v>347</v>
      </c>
      <c r="B290" s="4">
        <v>46057</v>
      </c>
      <c r="C290" s="1" t="s">
        <v>19</v>
      </c>
      <c r="D290" s="1" t="s">
        <v>54</v>
      </c>
      <c r="E290" s="5">
        <v>33000</v>
      </c>
      <c r="F290" s="1">
        <v>0</v>
      </c>
      <c r="G290" s="4">
        <v>46059</v>
      </c>
      <c r="H290" s="4">
        <v>46061</v>
      </c>
      <c r="I290" s="4">
        <v>46062</v>
      </c>
      <c r="J290" s="4"/>
      <c r="K290" s="1" t="s">
        <v>55</v>
      </c>
      <c r="L290" s="1" t="str">
        <f t="shared" si="4"/>
        <v>Online</v>
      </c>
      <c r="M290" s="1"/>
      <c r="N290" s="1"/>
      <c r="O290" s="1"/>
      <c r="P290" s="1"/>
      <c r="Q290" s="1"/>
      <c r="R290" s="1"/>
      <c r="S290" s="1"/>
    </row>
    <row r="291" spans="1:19" ht="23" customHeight="1">
      <c r="A291" s="1" t="s">
        <v>348</v>
      </c>
      <c r="B291" s="4">
        <v>46046</v>
      </c>
      <c r="C291" s="1" t="s">
        <v>19</v>
      </c>
      <c r="D291" s="1" t="s">
        <v>54</v>
      </c>
      <c r="E291" s="5">
        <v>11000</v>
      </c>
      <c r="F291" s="1">
        <v>0</v>
      </c>
      <c r="G291" s="4">
        <v>46047</v>
      </c>
      <c r="H291" s="4">
        <v>46048</v>
      </c>
      <c r="I291" s="4">
        <v>46051</v>
      </c>
      <c r="J291" s="4"/>
      <c r="K291" s="1" t="s">
        <v>55</v>
      </c>
      <c r="L291" s="1" t="str">
        <f t="shared" si="4"/>
        <v>Online</v>
      </c>
      <c r="M291" s="1"/>
      <c r="N291" s="1"/>
      <c r="O291" s="1"/>
      <c r="P291" s="1"/>
      <c r="Q291" s="1"/>
      <c r="R291" s="1"/>
      <c r="S291" s="1"/>
    </row>
    <row r="292" spans="1:19" ht="23" customHeight="1">
      <c r="A292" s="1" t="s">
        <v>349</v>
      </c>
      <c r="B292" s="4">
        <v>46069</v>
      </c>
      <c r="C292" s="1" t="s">
        <v>19</v>
      </c>
      <c r="D292" s="1" t="s">
        <v>54</v>
      </c>
      <c r="E292" s="5">
        <v>40000</v>
      </c>
      <c r="F292" s="1">
        <v>0</v>
      </c>
      <c r="G292" s="4">
        <v>46069</v>
      </c>
      <c r="H292" s="4">
        <v>46070</v>
      </c>
      <c r="I292" s="4">
        <v>46071</v>
      </c>
      <c r="J292" s="4"/>
      <c r="K292" s="1" t="s">
        <v>55</v>
      </c>
      <c r="L292" s="1" t="str">
        <f t="shared" si="4"/>
        <v>Online</v>
      </c>
      <c r="M292" s="1"/>
      <c r="N292" s="1"/>
      <c r="O292" s="1"/>
      <c r="P292" s="1"/>
      <c r="Q292" s="1"/>
      <c r="R292" s="1"/>
      <c r="S292" s="1"/>
    </row>
    <row r="293" spans="1:19" ht="23" customHeight="1">
      <c r="A293" s="1" t="s">
        <v>350</v>
      </c>
      <c r="B293" s="4">
        <v>46039</v>
      </c>
      <c r="C293" s="1" t="s">
        <v>18</v>
      </c>
      <c r="D293" s="1" t="s">
        <v>59</v>
      </c>
      <c r="E293" s="5">
        <v>13000</v>
      </c>
      <c r="F293" s="1">
        <v>1</v>
      </c>
      <c r="G293" s="4">
        <v>46049</v>
      </c>
      <c r="H293" s="4">
        <v>46055</v>
      </c>
      <c r="I293" s="4">
        <v>46058</v>
      </c>
      <c r="J293" s="4"/>
      <c r="K293" s="1" t="s">
        <v>55</v>
      </c>
      <c r="L293" s="1" t="str">
        <f t="shared" si="4"/>
        <v>Branch</v>
      </c>
      <c r="M293" s="1"/>
      <c r="N293" s="1"/>
      <c r="O293" s="1"/>
      <c r="P293" s="1"/>
      <c r="Q293" s="1"/>
      <c r="R293" s="1"/>
      <c r="S293" s="1"/>
    </row>
    <row r="294" spans="1:19" ht="23" customHeight="1">
      <c r="A294" s="1" t="s">
        <v>351</v>
      </c>
      <c r="B294" s="4">
        <v>46082</v>
      </c>
      <c r="C294" s="1" t="s">
        <v>19</v>
      </c>
      <c r="D294" s="1" t="s">
        <v>54</v>
      </c>
      <c r="E294" s="5">
        <v>44000</v>
      </c>
      <c r="F294" s="1">
        <v>0</v>
      </c>
      <c r="G294" s="4">
        <v>46084</v>
      </c>
      <c r="H294" s="4">
        <v>46088</v>
      </c>
      <c r="I294" s="4">
        <v>46089</v>
      </c>
      <c r="J294" s="4"/>
      <c r="K294" s="1" t="s">
        <v>63</v>
      </c>
      <c r="L294" s="1" t="str">
        <f t="shared" si="4"/>
        <v>Online</v>
      </c>
      <c r="M294" s="1"/>
      <c r="N294" s="1"/>
      <c r="O294" s="1"/>
      <c r="P294" s="1"/>
      <c r="Q294" s="1"/>
      <c r="R294" s="1"/>
      <c r="S294" s="1"/>
    </row>
    <row r="295" spans="1:19" ht="23" customHeight="1">
      <c r="A295" s="1" t="s">
        <v>352</v>
      </c>
      <c r="B295" s="4">
        <v>46070</v>
      </c>
      <c r="C295" s="1" t="s">
        <v>18</v>
      </c>
      <c r="D295" s="1" t="s">
        <v>71</v>
      </c>
      <c r="E295" s="5">
        <v>17000</v>
      </c>
      <c r="F295" s="1">
        <v>0</v>
      </c>
      <c r="G295" s="4">
        <v>46072</v>
      </c>
      <c r="H295" s="4">
        <v>46074</v>
      </c>
      <c r="I295" s="4">
        <v>46076</v>
      </c>
      <c r="J295" s="4"/>
      <c r="K295" s="1" t="s">
        <v>55</v>
      </c>
      <c r="L295" s="1" t="str">
        <f t="shared" si="4"/>
        <v>Branch</v>
      </c>
      <c r="M295" s="1"/>
      <c r="N295" s="1"/>
      <c r="O295" s="1"/>
      <c r="P295" s="1"/>
      <c r="Q295" s="1"/>
      <c r="R295" s="1"/>
      <c r="S295" s="1"/>
    </row>
    <row r="296" spans="1:19" ht="23" customHeight="1">
      <c r="A296" s="1" t="s">
        <v>353</v>
      </c>
      <c r="B296" s="4">
        <v>46032</v>
      </c>
      <c r="C296" s="1" t="s">
        <v>19</v>
      </c>
      <c r="D296" s="1" t="s">
        <v>54</v>
      </c>
      <c r="E296" s="5">
        <v>38000</v>
      </c>
      <c r="F296" s="1">
        <v>0</v>
      </c>
      <c r="G296" s="4">
        <v>46032</v>
      </c>
      <c r="H296" s="4">
        <v>46038</v>
      </c>
      <c r="I296" s="4">
        <v>46041</v>
      </c>
      <c r="J296" s="4"/>
      <c r="K296" s="1" t="s">
        <v>55</v>
      </c>
      <c r="L296" s="1" t="str">
        <f t="shared" si="4"/>
        <v>Online</v>
      </c>
      <c r="M296" s="1"/>
      <c r="N296" s="1"/>
      <c r="O296" s="1"/>
      <c r="P296" s="1"/>
      <c r="Q296" s="1"/>
      <c r="R296" s="1"/>
      <c r="S296" s="1"/>
    </row>
    <row r="297" spans="1:19" ht="23" customHeight="1">
      <c r="A297" s="1" t="s">
        <v>354</v>
      </c>
      <c r="B297" s="4">
        <v>46032</v>
      </c>
      <c r="C297" s="1" t="s">
        <v>19</v>
      </c>
      <c r="D297" s="1" t="s">
        <v>54</v>
      </c>
      <c r="E297" s="5">
        <v>39000</v>
      </c>
      <c r="F297" s="1">
        <v>0</v>
      </c>
      <c r="G297" s="4">
        <v>46032</v>
      </c>
      <c r="H297" s="4">
        <v>46036</v>
      </c>
      <c r="I297" s="4">
        <v>46039</v>
      </c>
      <c r="J297" s="4"/>
      <c r="K297" s="1" t="s">
        <v>63</v>
      </c>
      <c r="L297" s="1" t="str">
        <f t="shared" si="4"/>
        <v>Online</v>
      </c>
      <c r="M297" s="1"/>
      <c r="N297" s="1"/>
      <c r="O297" s="1"/>
      <c r="P297" s="1"/>
      <c r="Q297" s="1"/>
      <c r="R297" s="1"/>
      <c r="S297" s="1"/>
    </row>
    <row r="298" spans="1:19" ht="23" customHeight="1">
      <c r="A298" s="1" t="s">
        <v>355</v>
      </c>
      <c r="B298" s="4">
        <v>46066</v>
      </c>
      <c r="C298" s="1" t="s">
        <v>18</v>
      </c>
      <c r="D298" s="1" t="s">
        <v>62</v>
      </c>
      <c r="E298" s="5">
        <v>48000</v>
      </c>
      <c r="F298" s="1">
        <v>0</v>
      </c>
      <c r="G298" s="4">
        <v>46067</v>
      </c>
      <c r="H298" s="4">
        <v>46072</v>
      </c>
      <c r="I298" s="4">
        <v>46073</v>
      </c>
      <c r="J298" s="4"/>
      <c r="K298" s="1" t="s">
        <v>63</v>
      </c>
      <c r="L298" s="1" t="str">
        <f t="shared" si="4"/>
        <v>Branch</v>
      </c>
      <c r="M298" s="1"/>
      <c r="N298" s="1"/>
      <c r="O298" s="1"/>
      <c r="P298" s="1"/>
      <c r="Q298" s="1"/>
      <c r="R298" s="1"/>
      <c r="S298" s="1"/>
    </row>
    <row r="299" spans="1:19" ht="23" customHeight="1">
      <c r="A299" s="1" t="s">
        <v>356</v>
      </c>
      <c r="B299" s="4">
        <v>46099</v>
      </c>
      <c r="C299" s="1" t="s">
        <v>18</v>
      </c>
      <c r="D299" s="1" t="s">
        <v>71</v>
      </c>
      <c r="E299" s="5">
        <v>30000</v>
      </c>
      <c r="F299" s="1">
        <v>0</v>
      </c>
      <c r="G299" s="4">
        <v>46100</v>
      </c>
      <c r="H299" s="4">
        <v>46102</v>
      </c>
      <c r="I299" s="4">
        <v>46105</v>
      </c>
      <c r="J299" s="4"/>
      <c r="K299" s="1" t="s">
        <v>63</v>
      </c>
      <c r="L299" s="1" t="str">
        <f t="shared" si="4"/>
        <v>Branch</v>
      </c>
      <c r="M299" s="1"/>
      <c r="N299" s="1"/>
      <c r="O299" s="1"/>
      <c r="P299" s="1"/>
      <c r="Q299" s="1"/>
      <c r="R299" s="1"/>
      <c r="S299" s="1"/>
    </row>
    <row r="300" spans="1:19" ht="23" customHeight="1">
      <c r="A300" s="1" t="s">
        <v>357</v>
      </c>
      <c r="B300" s="4">
        <v>46087</v>
      </c>
      <c r="C300" s="1" t="s">
        <v>18</v>
      </c>
      <c r="D300" s="1" t="s">
        <v>71</v>
      </c>
      <c r="E300" s="5">
        <v>8000</v>
      </c>
      <c r="F300" s="1">
        <v>0</v>
      </c>
      <c r="G300" s="4">
        <v>46087</v>
      </c>
      <c r="H300" s="4">
        <v>46093</v>
      </c>
      <c r="I300" s="4">
        <v>46095</v>
      </c>
      <c r="J300" s="4"/>
      <c r="K300" s="1" t="s">
        <v>55</v>
      </c>
      <c r="L300" s="1" t="str">
        <f t="shared" si="4"/>
        <v>Branch</v>
      </c>
      <c r="M300" s="1"/>
      <c r="N300" s="1"/>
      <c r="O300" s="1"/>
      <c r="P300" s="1"/>
      <c r="Q300" s="1"/>
      <c r="R300" s="1"/>
      <c r="S300" s="1"/>
    </row>
    <row r="301" spans="1:19" ht="23" customHeight="1">
      <c r="A301" s="1" t="s">
        <v>358</v>
      </c>
      <c r="B301" s="4">
        <v>46083</v>
      </c>
      <c r="C301" s="1" t="s">
        <v>18</v>
      </c>
      <c r="D301" s="1" t="s">
        <v>65</v>
      </c>
      <c r="E301" s="5">
        <v>43000</v>
      </c>
      <c r="F301" s="1">
        <v>1</v>
      </c>
      <c r="G301" s="4">
        <v>46087</v>
      </c>
      <c r="H301" s="4">
        <v>46090</v>
      </c>
      <c r="I301" s="4">
        <v>46091</v>
      </c>
      <c r="J301" s="4"/>
      <c r="K301" s="1" t="s">
        <v>55</v>
      </c>
      <c r="L301" s="1" t="str">
        <f t="shared" si="4"/>
        <v>Branch</v>
      </c>
      <c r="M301" s="1"/>
      <c r="N301" s="1"/>
      <c r="O301" s="1"/>
      <c r="P301" s="1"/>
      <c r="Q301" s="1"/>
      <c r="R301" s="1"/>
      <c r="S301" s="1"/>
    </row>
    <row r="302" spans="1:19" ht="23" customHeight="1">
      <c r="A302" s="1" t="s">
        <v>359</v>
      </c>
      <c r="B302" s="4">
        <v>46047</v>
      </c>
      <c r="C302" s="1" t="s">
        <v>18</v>
      </c>
      <c r="D302" s="1" t="s">
        <v>62</v>
      </c>
      <c r="E302" s="5">
        <v>49000</v>
      </c>
      <c r="F302" s="1">
        <v>0</v>
      </c>
      <c r="G302" s="4">
        <v>46049</v>
      </c>
      <c r="H302" s="4">
        <v>46055</v>
      </c>
      <c r="I302" s="4">
        <v>46058</v>
      </c>
      <c r="J302" s="4"/>
      <c r="K302" s="1" t="s">
        <v>55</v>
      </c>
      <c r="L302" s="1" t="str">
        <f t="shared" si="4"/>
        <v>Branch</v>
      </c>
      <c r="M302" s="1"/>
      <c r="N302" s="1"/>
      <c r="O302" s="1"/>
      <c r="P302" s="1"/>
      <c r="Q302" s="1"/>
      <c r="R302" s="1"/>
      <c r="S302" s="1"/>
    </row>
    <row r="303" spans="1:19" ht="23" customHeight="1">
      <c r="A303" s="1" t="s">
        <v>360</v>
      </c>
      <c r="B303" s="4">
        <v>46108</v>
      </c>
      <c r="C303" s="1" t="s">
        <v>19</v>
      </c>
      <c r="D303" s="1" t="s">
        <v>54</v>
      </c>
      <c r="E303" s="5">
        <v>31000</v>
      </c>
      <c r="F303" s="1">
        <v>1</v>
      </c>
      <c r="G303" s="4"/>
      <c r="H303" s="4"/>
      <c r="I303" s="4"/>
      <c r="J303" s="4"/>
      <c r="K303" s="1" t="s">
        <v>69</v>
      </c>
      <c r="L303" s="1" t="str">
        <f t="shared" si="4"/>
        <v>Online</v>
      </c>
      <c r="M303" s="1"/>
      <c r="N303" s="1"/>
      <c r="O303" s="1"/>
      <c r="P303" s="1"/>
      <c r="Q303" s="1"/>
      <c r="R303" s="1"/>
      <c r="S303" s="1"/>
    </row>
    <row r="304" spans="1:19" ht="23" customHeight="1">
      <c r="A304" s="1" t="s">
        <v>361</v>
      </c>
      <c r="B304" s="4">
        <v>46073</v>
      </c>
      <c r="C304" s="1" t="s">
        <v>18</v>
      </c>
      <c r="D304" s="1" t="s">
        <v>62</v>
      </c>
      <c r="E304" s="5">
        <v>12000</v>
      </c>
      <c r="F304" s="1">
        <v>0</v>
      </c>
      <c r="G304" s="4">
        <v>46073</v>
      </c>
      <c r="H304" s="4">
        <v>46081</v>
      </c>
      <c r="I304" s="4">
        <v>46084</v>
      </c>
      <c r="J304" s="4"/>
      <c r="K304" s="1" t="s">
        <v>55</v>
      </c>
      <c r="L304" s="1" t="str">
        <f t="shared" si="4"/>
        <v>Branch</v>
      </c>
      <c r="M304" s="1"/>
      <c r="N304" s="1"/>
      <c r="O304" s="1"/>
      <c r="P304" s="1"/>
      <c r="Q304" s="1"/>
      <c r="R304" s="1"/>
      <c r="S304" s="1"/>
    </row>
    <row r="305" spans="1:19" ht="23" customHeight="1">
      <c r="A305" s="1" t="s">
        <v>362</v>
      </c>
      <c r="B305" s="4">
        <v>46077</v>
      </c>
      <c r="C305" s="1" t="s">
        <v>19</v>
      </c>
      <c r="D305" s="1" t="s">
        <v>54</v>
      </c>
      <c r="E305" s="5">
        <v>26000</v>
      </c>
      <c r="F305" s="1">
        <v>0</v>
      </c>
      <c r="G305" s="4">
        <v>46079</v>
      </c>
      <c r="H305" s="4">
        <v>46082</v>
      </c>
      <c r="I305" s="4">
        <v>46085</v>
      </c>
      <c r="J305" s="4"/>
      <c r="K305" s="1" t="s">
        <v>55</v>
      </c>
      <c r="L305" s="1" t="str">
        <f t="shared" si="4"/>
        <v>Online</v>
      </c>
      <c r="M305" s="1"/>
      <c r="N305" s="1"/>
      <c r="O305" s="1"/>
      <c r="P305" s="1"/>
      <c r="Q305" s="1"/>
      <c r="R305" s="1"/>
      <c r="S305" s="1"/>
    </row>
    <row r="306" spans="1:19" ht="23" customHeight="1">
      <c r="A306" s="1" t="s">
        <v>363</v>
      </c>
      <c r="B306" s="4">
        <v>46111</v>
      </c>
      <c r="C306" s="1" t="s">
        <v>19</v>
      </c>
      <c r="D306" s="1" t="s">
        <v>54</v>
      </c>
      <c r="E306" s="5">
        <v>29000</v>
      </c>
      <c r="F306" s="1">
        <v>0</v>
      </c>
      <c r="G306" s="4">
        <v>46112</v>
      </c>
      <c r="H306" s="4"/>
      <c r="I306" s="4"/>
      <c r="J306" s="4"/>
      <c r="K306" s="1" t="s">
        <v>69</v>
      </c>
      <c r="L306" s="1" t="str">
        <f t="shared" si="4"/>
        <v>Online</v>
      </c>
      <c r="M306" s="1"/>
      <c r="N306" s="1"/>
      <c r="O306" s="1"/>
      <c r="P306" s="1"/>
      <c r="Q306" s="1"/>
      <c r="R306" s="1"/>
      <c r="S306" s="1"/>
    </row>
    <row r="307" spans="1:19" ht="23" customHeight="1">
      <c r="A307" s="1" t="s">
        <v>364</v>
      </c>
      <c r="B307" s="4">
        <v>46043</v>
      </c>
      <c r="C307" s="1" t="s">
        <v>18</v>
      </c>
      <c r="D307" s="1" t="s">
        <v>59</v>
      </c>
      <c r="E307" s="5">
        <v>13000</v>
      </c>
      <c r="F307" s="1">
        <v>1</v>
      </c>
      <c r="G307" s="4"/>
      <c r="H307" s="4"/>
      <c r="I307" s="4"/>
      <c r="J307" s="4">
        <v>46045</v>
      </c>
      <c r="K307" s="1" t="s">
        <v>86</v>
      </c>
      <c r="L307" s="1" t="str">
        <f t="shared" si="4"/>
        <v>Branch</v>
      </c>
      <c r="M307" s="1"/>
      <c r="N307" s="1"/>
      <c r="O307" s="1"/>
      <c r="P307" s="1"/>
      <c r="Q307" s="1"/>
      <c r="R307" s="1"/>
      <c r="S307" s="1"/>
    </row>
    <row r="308" spans="1:19" ht="23" customHeight="1">
      <c r="A308" s="1" t="s">
        <v>365</v>
      </c>
      <c r="B308" s="4">
        <v>46047</v>
      </c>
      <c r="C308" s="1" t="s">
        <v>19</v>
      </c>
      <c r="D308" s="1" t="s">
        <v>54</v>
      </c>
      <c r="E308" s="5">
        <v>8000</v>
      </c>
      <c r="F308" s="1">
        <v>0</v>
      </c>
      <c r="G308" s="4">
        <v>46049</v>
      </c>
      <c r="H308" s="4">
        <v>46050</v>
      </c>
      <c r="I308" s="4">
        <v>46052</v>
      </c>
      <c r="J308" s="4"/>
      <c r="K308" s="1" t="s">
        <v>63</v>
      </c>
      <c r="L308" s="1" t="str">
        <f t="shared" si="4"/>
        <v>Online</v>
      </c>
      <c r="M308" s="1"/>
      <c r="N308" s="1"/>
      <c r="O308" s="1"/>
      <c r="P308" s="1"/>
      <c r="Q308" s="1"/>
      <c r="R308" s="1"/>
      <c r="S308" s="1"/>
    </row>
    <row r="309" spans="1:19" ht="23" customHeight="1">
      <c r="A309" s="1" t="s">
        <v>366</v>
      </c>
      <c r="B309" s="4">
        <v>46087</v>
      </c>
      <c r="C309" s="1" t="s">
        <v>19</v>
      </c>
      <c r="D309" s="1" t="s">
        <v>54</v>
      </c>
      <c r="E309" s="5">
        <v>29000</v>
      </c>
      <c r="F309" s="1">
        <v>0</v>
      </c>
      <c r="G309" s="4">
        <v>46087</v>
      </c>
      <c r="H309" s="4">
        <v>46092</v>
      </c>
      <c r="I309" s="4">
        <v>46093</v>
      </c>
      <c r="J309" s="4"/>
      <c r="K309" s="1" t="s">
        <v>55</v>
      </c>
      <c r="L309" s="1" t="str">
        <f t="shared" si="4"/>
        <v>Online</v>
      </c>
      <c r="M309" s="1"/>
      <c r="N309" s="1"/>
      <c r="O309" s="1"/>
      <c r="P309" s="1"/>
      <c r="Q309" s="1"/>
      <c r="R309" s="1"/>
      <c r="S309" s="1"/>
    </row>
    <row r="310" spans="1:19" ht="23" customHeight="1">
      <c r="A310" s="1" t="s">
        <v>367</v>
      </c>
      <c r="B310" s="4">
        <v>46072</v>
      </c>
      <c r="C310" s="1" t="s">
        <v>18</v>
      </c>
      <c r="D310" s="1" t="s">
        <v>71</v>
      </c>
      <c r="E310" s="5">
        <v>39000</v>
      </c>
      <c r="F310" s="1">
        <v>1</v>
      </c>
      <c r="G310" s="4">
        <v>46080</v>
      </c>
      <c r="H310" s="4">
        <v>46083</v>
      </c>
      <c r="I310" s="4">
        <v>46086</v>
      </c>
      <c r="J310" s="4"/>
      <c r="K310" s="1" t="s">
        <v>55</v>
      </c>
      <c r="L310" s="1" t="str">
        <f t="shared" si="4"/>
        <v>Branch</v>
      </c>
      <c r="M310" s="1"/>
      <c r="N310" s="1"/>
      <c r="O310" s="1"/>
      <c r="P310" s="1"/>
      <c r="Q310" s="1"/>
      <c r="R310" s="1"/>
      <c r="S310" s="1"/>
    </row>
    <row r="311" spans="1:19" ht="23" customHeight="1">
      <c r="A311" s="1" t="s">
        <v>368</v>
      </c>
      <c r="B311" s="4">
        <v>46088</v>
      </c>
      <c r="C311" s="1" t="s">
        <v>19</v>
      </c>
      <c r="D311" s="1" t="s">
        <v>54</v>
      </c>
      <c r="E311" s="5">
        <v>29000</v>
      </c>
      <c r="F311" s="1">
        <v>0</v>
      </c>
      <c r="G311" s="4">
        <v>46088</v>
      </c>
      <c r="H311" s="4">
        <v>46093</v>
      </c>
      <c r="I311" s="4">
        <v>46095</v>
      </c>
      <c r="J311" s="4"/>
      <c r="K311" s="1" t="s">
        <v>55</v>
      </c>
      <c r="L311" s="1" t="str">
        <f t="shared" si="4"/>
        <v>Online</v>
      </c>
      <c r="M311" s="1"/>
      <c r="N311" s="1"/>
      <c r="O311" s="1"/>
      <c r="P311" s="1"/>
      <c r="Q311" s="1"/>
      <c r="R311" s="1"/>
      <c r="S311" s="1"/>
    </row>
    <row r="312" spans="1:19" ht="23" customHeight="1">
      <c r="A312" s="1" t="s">
        <v>369</v>
      </c>
      <c r="B312" s="4">
        <v>46024</v>
      </c>
      <c r="C312" s="1" t="s">
        <v>18</v>
      </c>
      <c r="D312" s="1" t="s">
        <v>71</v>
      </c>
      <c r="E312" s="5">
        <v>11000</v>
      </c>
      <c r="F312" s="1">
        <v>1</v>
      </c>
      <c r="G312" s="4"/>
      <c r="H312" s="4"/>
      <c r="I312" s="4"/>
      <c r="J312" s="4">
        <v>46025</v>
      </c>
      <c r="K312" s="1" t="s">
        <v>86</v>
      </c>
      <c r="L312" s="1" t="str">
        <f t="shared" si="4"/>
        <v>Branch</v>
      </c>
      <c r="M312" s="1"/>
      <c r="N312" s="1"/>
      <c r="O312" s="1"/>
      <c r="P312" s="1"/>
      <c r="Q312" s="1"/>
      <c r="R312" s="1"/>
      <c r="S312" s="1"/>
    </row>
    <row r="313" spans="1:19" ht="23" customHeight="1">
      <c r="A313" s="1" t="s">
        <v>370</v>
      </c>
      <c r="B313" s="4">
        <v>46062</v>
      </c>
      <c r="C313" s="1" t="s">
        <v>18</v>
      </c>
      <c r="D313" s="1" t="s">
        <v>59</v>
      </c>
      <c r="E313" s="5">
        <v>30000</v>
      </c>
      <c r="F313" s="1">
        <v>1</v>
      </c>
      <c r="G313" s="4"/>
      <c r="H313" s="4"/>
      <c r="I313" s="4"/>
      <c r="J313" s="4">
        <v>46067</v>
      </c>
      <c r="K313" s="1" t="s">
        <v>86</v>
      </c>
      <c r="L313" s="1" t="str">
        <f t="shared" si="4"/>
        <v>Branch</v>
      </c>
      <c r="M313" s="1"/>
      <c r="N313" s="1"/>
      <c r="O313" s="1"/>
      <c r="P313" s="1"/>
      <c r="Q313" s="1"/>
      <c r="R313" s="1"/>
      <c r="S313" s="1"/>
    </row>
    <row r="314" spans="1:19" ht="23" customHeight="1">
      <c r="A314" s="1" t="s">
        <v>371</v>
      </c>
      <c r="B314" s="4">
        <v>46026</v>
      </c>
      <c r="C314" s="1" t="s">
        <v>18</v>
      </c>
      <c r="D314" s="1" t="s">
        <v>71</v>
      </c>
      <c r="E314" s="5">
        <v>33000</v>
      </c>
      <c r="F314" s="1">
        <v>0</v>
      </c>
      <c r="G314" s="4">
        <v>46028</v>
      </c>
      <c r="H314" s="4">
        <v>46029</v>
      </c>
      <c r="I314" s="4">
        <v>46031</v>
      </c>
      <c r="J314" s="4"/>
      <c r="K314" s="1" t="s">
        <v>55</v>
      </c>
      <c r="L314" s="1" t="str">
        <f t="shared" si="4"/>
        <v>Branch</v>
      </c>
      <c r="M314" s="1"/>
      <c r="N314" s="1"/>
      <c r="O314" s="1"/>
      <c r="P314" s="1"/>
      <c r="Q314" s="1"/>
      <c r="R314" s="1"/>
      <c r="S314" s="1"/>
    </row>
    <row r="315" spans="1:19" ht="23" customHeight="1">
      <c r="A315" s="1" t="s">
        <v>372</v>
      </c>
      <c r="B315" s="4">
        <v>46098</v>
      </c>
      <c r="C315" s="1" t="s">
        <v>18</v>
      </c>
      <c r="D315" s="1" t="s">
        <v>59</v>
      </c>
      <c r="E315" s="5">
        <v>41000</v>
      </c>
      <c r="F315" s="1">
        <v>0</v>
      </c>
      <c r="G315" s="4">
        <v>46098</v>
      </c>
      <c r="H315" s="4">
        <v>46103</v>
      </c>
      <c r="I315" s="4">
        <v>46105</v>
      </c>
      <c r="J315" s="4"/>
      <c r="K315" s="1" t="s">
        <v>63</v>
      </c>
      <c r="L315" s="1" t="str">
        <f t="shared" si="4"/>
        <v>Branch</v>
      </c>
      <c r="M315" s="1"/>
      <c r="N315" s="1"/>
      <c r="O315" s="1"/>
      <c r="P315" s="1"/>
      <c r="Q315" s="1"/>
      <c r="R315" s="1"/>
      <c r="S315" s="1"/>
    </row>
    <row r="316" spans="1:19" ht="23" customHeight="1">
      <c r="A316" s="1" t="s">
        <v>373</v>
      </c>
      <c r="B316" s="4">
        <v>46083</v>
      </c>
      <c r="C316" s="1" t="s">
        <v>18</v>
      </c>
      <c r="D316" s="1" t="s">
        <v>62</v>
      </c>
      <c r="E316" s="5">
        <v>10000</v>
      </c>
      <c r="F316" s="1">
        <v>1</v>
      </c>
      <c r="G316" s="4">
        <v>46091</v>
      </c>
      <c r="H316" s="4">
        <v>46095</v>
      </c>
      <c r="I316" s="4">
        <v>46097</v>
      </c>
      <c r="J316" s="4"/>
      <c r="K316" s="1" t="s">
        <v>63</v>
      </c>
      <c r="L316" s="1" t="str">
        <f t="shared" si="4"/>
        <v>Branch</v>
      </c>
      <c r="M316" s="1"/>
      <c r="N316" s="1"/>
      <c r="O316" s="1"/>
      <c r="P316" s="1"/>
      <c r="Q316" s="1"/>
      <c r="R316" s="1"/>
      <c r="S316" s="1"/>
    </row>
    <row r="317" spans="1:19" ht="23" customHeight="1">
      <c r="A317" s="1" t="s">
        <v>374</v>
      </c>
      <c r="B317" s="4">
        <v>46112</v>
      </c>
      <c r="C317" s="1" t="s">
        <v>19</v>
      </c>
      <c r="D317" s="1" t="s">
        <v>54</v>
      </c>
      <c r="E317" s="5">
        <v>14000</v>
      </c>
      <c r="F317" s="1">
        <v>0</v>
      </c>
      <c r="G317" s="4"/>
      <c r="H317" s="4"/>
      <c r="I317" s="4"/>
      <c r="J317" s="4"/>
      <c r="K317" s="1" t="s">
        <v>69</v>
      </c>
      <c r="L317" s="1" t="str">
        <f t="shared" si="4"/>
        <v>Online</v>
      </c>
      <c r="M317" s="1"/>
      <c r="N317" s="1"/>
      <c r="O317" s="1"/>
      <c r="P317" s="1"/>
      <c r="Q317" s="1"/>
      <c r="R317" s="1"/>
      <c r="S317" s="1"/>
    </row>
    <row r="318" spans="1:19" ht="23" customHeight="1">
      <c r="A318" s="1" t="s">
        <v>375</v>
      </c>
      <c r="B318" s="4">
        <v>46034</v>
      </c>
      <c r="C318" s="1" t="s">
        <v>18</v>
      </c>
      <c r="D318" s="1" t="s">
        <v>65</v>
      </c>
      <c r="E318" s="5">
        <v>24000</v>
      </c>
      <c r="F318" s="1">
        <v>1</v>
      </c>
      <c r="G318" s="4">
        <v>46039</v>
      </c>
      <c r="H318" s="4">
        <v>46042</v>
      </c>
      <c r="I318" s="4">
        <v>46044</v>
      </c>
      <c r="J318" s="4"/>
      <c r="K318" s="1" t="s">
        <v>63</v>
      </c>
      <c r="L318" s="1" t="str">
        <f t="shared" si="4"/>
        <v>Branch</v>
      </c>
      <c r="M318" s="1"/>
      <c r="N318" s="1"/>
      <c r="O318" s="1"/>
      <c r="P318" s="1"/>
      <c r="Q318" s="1"/>
      <c r="R318" s="1"/>
      <c r="S318" s="1"/>
    </row>
    <row r="319" spans="1:19" ht="23" customHeight="1">
      <c r="A319" s="1" t="s">
        <v>376</v>
      </c>
      <c r="B319" s="4">
        <v>46105</v>
      </c>
      <c r="C319" s="1" t="s">
        <v>19</v>
      </c>
      <c r="D319" s="1" t="s">
        <v>54</v>
      </c>
      <c r="E319" s="5">
        <v>11000</v>
      </c>
      <c r="F319" s="1">
        <v>0</v>
      </c>
      <c r="G319" s="4">
        <v>46107</v>
      </c>
      <c r="H319" s="4">
        <v>46109</v>
      </c>
      <c r="I319" s="4">
        <v>46111</v>
      </c>
      <c r="J319" s="4"/>
      <c r="K319" s="1" t="s">
        <v>63</v>
      </c>
      <c r="L319" s="1" t="str">
        <f t="shared" si="4"/>
        <v>Online</v>
      </c>
      <c r="M319" s="1"/>
      <c r="N319" s="1"/>
      <c r="O319" s="1"/>
      <c r="P319" s="1"/>
      <c r="Q319" s="1"/>
      <c r="R319" s="1"/>
      <c r="S319" s="1"/>
    </row>
    <row r="320" spans="1:19" ht="23" customHeight="1">
      <c r="A320" s="1" t="s">
        <v>377</v>
      </c>
      <c r="B320" s="4">
        <v>46036</v>
      </c>
      <c r="C320" s="1" t="s">
        <v>19</v>
      </c>
      <c r="D320" s="1" t="s">
        <v>54</v>
      </c>
      <c r="E320" s="5">
        <v>48000</v>
      </c>
      <c r="F320" s="1">
        <v>1</v>
      </c>
      <c r="G320" s="4">
        <v>46042</v>
      </c>
      <c r="H320" s="4">
        <v>46045</v>
      </c>
      <c r="I320" s="4">
        <v>46046</v>
      </c>
      <c r="J320" s="4"/>
      <c r="K320" s="1" t="s">
        <v>55</v>
      </c>
      <c r="L320" s="1" t="str">
        <f t="shared" si="4"/>
        <v>Online</v>
      </c>
      <c r="M320" s="1"/>
      <c r="N320" s="1"/>
      <c r="O320" s="1"/>
      <c r="P320" s="1"/>
      <c r="Q320" s="1"/>
      <c r="R320" s="1"/>
      <c r="S320" s="1"/>
    </row>
    <row r="321" spans="1:19" ht="23" customHeight="1">
      <c r="A321" s="1" t="s">
        <v>378</v>
      </c>
      <c r="B321" s="4">
        <v>46069</v>
      </c>
      <c r="C321" s="1" t="s">
        <v>18</v>
      </c>
      <c r="D321" s="1" t="s">
        <v>71</v>
      </c>
      <c r="E321" s="5">
        <v>10000</v>
      </c>
      <c r="F321" s="1">
        <v>0</v>
      </c>
      <c r="G321" s="4">
        <v>46070</v>
      </c>
      <c r="H321" s="4">
        <v>46071</v>
      </c>
      <c r="I321" s="4">
        <v>46073</v>
      </c>
      <c r="J321" s="4"/>
      <c r="K321" s="1" t="s">
        <v>55</v>
      </c>
      <c r="L321" s="1" t="str">
        <f t="shared" si="4"/>
        <v>Branch</v>
      </c>
      <c r="M321" s="1"/>
      <c r="N321" s="1"/>
      <c r="O321" s="1"/>
      <c r="P321" s="1"/>
      <c r="Q321" s="1"/>
      <c r="R321" s="1"/>
      <c r="S321" s="1"/>
    </row>
    <row r="322" spans="1:19" ht="23" customHeight="1">
      <c r="A322" s="1" t="s">
        <v>379</v>
      </c>
      <c r="B322" s="4">
        <v>46063</v>
      </c>
      <c r="C322" s="1" t="s">
        <v>18</v>
      </c>
      <c r="D322" s="1" t="s">
        <v>71</v>
      </c>
      <c r="E322" s="5">
        <v>35000</v>
      </c>
      <c r="F322" s="1">
        <v>1</v>
      </c>
      <c r="G322" s="4">
        <v>46068</v>
      </c>
      <c r="H322" s="4">
        <v>46069</v>
      </c>
      <c r="I322" s="4">
        <v>46072</v>
      </c>
      <c r="J322" s="4"/>
      <c r="K322" s="1" t="s">
        <v>55</v>
      </c>
      <c r="L322" s="1" t="str">
        <f t="shared" si="4"/>
        <v>Branch</v>
      </c>
      <c r="M322" s="1"/>
      <c r="N322" s="1"/>
      <c r="O322" s="1"/>
      <c r="P322" s="1"/>
      <c r="Q322" s="1"/>
      <c r="R322" s="1"/>
      <c r="S322" s="1"/>
    </row>
    <row r="323" spans="1:19" ht="23" customHeight="1">
      <c r="A323" s="1" t="s">
        <v>380</v>
      </c>
      <c r="B323" s="4">
        <v>46069</v>
      </c>
      <c r="C323" s="1" t="s">
        <v>19</v>
      </c>
      <c r="D323" s="1" t="s">
        <v>54</v>
      </c>
      <c r="E323" s="5">
        <v>37000</v>
      </c>
      <c r="F323" s="1">
        <v>0</v>
      </c>
      <c r="G323" s="4">
        <v>46069</v>
      </c>
      <c r="H323" s="4">
        <v>46075</v>
      </c>
      <c r="I323" s="4">
        <v>46078</v>
      </c>
      <c r="J323" s="4"/>
      <c r="K323" s="1" t="s">
        <v>55</v>
      </c>
      <c r="L323" s="1" t="str">
        <f t="shared" si="4"/>
        <v>Online</v>
      </c>
      <c r="M323" s="1"/>
      <c r="N323" s="1"/>
      <c r="O323" s="1"/>
      <c r="P323" s="1"/>
      <c r="Q323" s="1"/>
      <c r="R323" s="1"/>
      <c r="S323" s="1"/>
    </row>
    <row r="324" spans="1:19" ht="23" customHeight="1">
      <c r="A324" s="1" t="s">
        <v>381</v>
      </c>
      <c r="B324" s="4">
        <v>46107</v>
      </c>
      <c r="C324" s="1" t="s">
        <v>19</v>
      </c>
      <c r="D324" s="1" t="s">
        <v>54</v>
      </c>
      <c r="E324" s="5">
        <v>29000</v>
      </c>
      <c r="F324" s="1">
        <v>1</v>
      </c>
      <c r="G324" s="4"/>
      <c r="H324" s="4"/>
      <c r="I324" s="4"/>
      <c r="J324" s="4"/>
      <c r="K324" s="1" t="s">
        <v>69</v>
      </c>
      <c r="L324" s="1" t="str">
        <f t="shared" si="4"/>
        <v>Online</v>
      </c>
      <c r="M324" s="1"/>
      <c r="N324" s="1"/>
      <c r="O324" s="1"/>
      <c r="P324" s="1"/>
      <c r="Q324" s="1"/>
      <c r="R324" s="1"/>
      <c r="S324" s="1"/>
    </row>
    <row r="325" spans="1:19" ht="23" customHeight="1">
      <c r="A325" s="1" t="s">
        <v>382</v>
      </c>
      <c r="B325" s="4">
        <v>46062</v>
      </c>
      <c r="C325" s="1" t="s">
        <v>18</v>
      </c>
      <c r="D325" s="1" t="s">
        <v>62</v>
      </c>
      <c r="E325" s="5">
        <v>34000</v>
      </c>
      <c r="F325" s="1">
        <v>0</v>
      </c>
      <c r="G325" s="4">
        <v>46062</v>
      </c>
      <c r="H325" s="4">
        <v>46069</v>
      </c>
      <c r="I325" s="4">
        <v>46070</v>
      </c>
      <c r="J325" s="4"/>
      <c r="K325" s="1" t="s">
        <v>55</v>
      </c>
      <c r="L325" s="1" t="str">
        <f t="shared" ref="L325:L388" si="5">PROPER(TRIM(C325))</f>
        <v>Branch</v>
      </c>
      <c r="M325" s="1"/>
      <c r="N325" s="1"/>
      <c r="O325" s="1"/>
      <c r="P325" s="1"/>
      <c r="Q325" s="1"/>
      <c r="R325" s="1"/>
      <c r="S325" s="1"/>
    </row>
    <row r="326" spans="1:19" ht="23" customHeight="1">
      <c r="A326" s="1" t="s">
        <v>383</v>
      </c>
      <c r="B326" s="4">
        <v>46044</v>
      </c>
      <c r="C326" s="1" t="s">
        <v>19</v>
      </c>
      <c r="D326" s="1" t="s">
        <v>54</v>
      </c>
      <c r="E326" s="5">
        <v>31000</v>
      </c>
      <c r="F326" s="1">
        <v>0</v>
      </c>
      <c r="G326" s="4">
        <v>46044</v>
      </c>
      <c r="H326" s="4">
        <v>46046</v>
      </c>
      <c r="I326" s="4">
        <v>46047</v>
      </c>
      <c r="J326" s="4"/>
      <c r="K326" s="1" t="s">
        <v>55</v>
      </c>
      <c r="L326" s="1" t="str">
        <f t="shared" si="5"/>
        <v>Online</v>
      </c>
      <c r="M326" s="1"/>
      <c r="N326" s="1"/>
      <c r="O326" s="1"/>
      <c r="P326" s="1"/>
      <c r="Q326" s="1"/>
      <c r="R326" s="1"/>
      <c r="S326" s="1"/>
    </row>
    <row r="327" spans="1:19" ht="23" customHeight="1">
      <c r="A327" s="1" t="s">
        <v>384</v>
      </c>
      <c r="B327" s="4">
        <v>46065</v>
      </c>
      <c r="C327" s="1" t="s">
        <v>18</v>
      </c>
      <c r="D327" s="1" t="s">
        <v>65</v>
      </c>
      <c r="E327" s="5">
        <v>29000</v>
      </c>
      <c r="F327" s="1">
        <v>0</v>
      </c>
      <c r="G327" s="4">
        <v>46066</v>
      </c>
      <c r="H327" s="4">
        <v>46071</v>
      </c>
      <c r="I327" s="4">
        <v>46072</v>
      </c>
      <c r="J327" s="4"/>
      <c r="K327" s="1" t="s">
        <v>63</v>
      </c>
      <c r="L327" s="1" t="str">
        <f t="shared" si="5"/>
        <v>Branch</v>
      </c>
      <c r="M327" s="1"/>
      <c r="N327" s="1"/>
      <c r="O327" s="1"/>
      <c r="P327" s="1"/>
      <c r="Q327" s="1"/>
      <c r="R327" s="1"/>
      <c r="S327" s="1"/>
    </row>
    <row r="328" spans="1:19" ht="23" customHeight="1">
      <c r="A328" s="1" t="s">
        <v>385</v>
      </c>
      <c r="B328" s="4">
        <v>46027</v>
      </c>
      <c r="C328" s="1" t="s">
        <v>18</v>
      </c>
      <c r="D328" s="1" t="s">
        <v>65</v>
      </c>
      <c r="E328" s="5">
        <v>20000</v>
      </c>
      <c r="F328" s="1">
        <v>1</v>
      </c>
      <c r="G328" s="4">
        <v>46030</v>
      </c>
      <c r="H328" s="4">
        <v>46031</v>
      </c>
      <c r="I328" s="4">
        <v>46033</v>
      </c>
      <c r="J328" s="4"/>
      <c r="K328" s="1" t="s">
        <v>55</v>
      </c>
      <c r="L328" s="1" t="str">
        <f t="shared" si="5"/>
        <v>Branch</v>
      </c>
      <c r="M328" s="1"/>
      <c r="N328" s="1"/>
      <c r="O328" s="1"/>
      <c r="P328" s="1"/>
      <c r="Q328" s="1"/>
      <c r="R328" s="1"/>
      <c r="S328" s="1"/>
    </row>
    <row r="329" spans="1:19" ht="23" customHeight="1">
      <c r="A329" s="1" t="s">
        <v>386</v>
      </c>
      <c r="B329" s="4">
        <v>46081</v>
      </c>
      <c r="C329" s="1" t="s">
        <v>19</v>
      </c>
      <c r="D329" s="1" t="s">
        <v>54</v>
      </c>
      <c r="E329" s="5">
        <v>21000</v>
      </c>
      <c r="F329" s="1">
        <v>1</v>
      </c>
      <c r="G329" s="4">
        <v>46089</v>
      </c>
      <c r="H329" s="4">
        <v>46095</v>
      </c>
      <c r="I329" s="4">
        <v>46097</v>
      </c>
      <c r="J329" s="4"/>
      <c r="K329" s="1" t="s">
        <v>55</v>
      </c>
      <c r="L329" s="1" t="str">
        <f t="shared" si="5"/>
        <v>Online</v>
      </c>
      <c r="M329" s="1"/>
      <c r="N329" s="1"/>
      <c r="O329" s="1"/>
      <c r="P329" s="1"/>
      <c r="Q329" s="1"/>
      <c r="R329" s="1"/>
      <c r="S329" s="1"/>
    </row>
    <row r="330" spans="1:19" ht="23" customHeight="1">
      <c r="A330" s="1" t="s">
        <v>387</v>
      </c>
      <c r="B330" s="4">
        <v>46045</v>
      </c>
      <c r="C330" s="1" t="s">
        <v>19</v>
      </c>
      <c r="D330" s="1" t="s">
        <v>54</v>
      </c>
      <c r="E330" s="5">
        <v>29000</v>
      </c>
      <c r="F330" s="1">
        <v>1</v>
      </c>
      <c r="G330" s="4">
        <v>46048</v>
      </c>
      <c r="H330" s="4">
        <v>46054</v>
      </c>
      <c r="I330" s="4">
        <v>46057</v>
      </c>
      <c r="J330" s="4"/>
      <c r="K330" s="1" t="s">
        <v>55</v>
      </c>
      <c r="L330" s="1" t="str">
        <f t="shared" si="5"/>
        <v>Online</v>
      </c>
      <c r="M330" s="1"/>
      <c r="N330" s="1"/>
      <c r="O330" s="1"/>
      <c r="P330" s="1"/>
      <c r="Q330" s="1"/>
      <c r="R330" s="1"/>
      <c r="S330" s="1"/>
    </row>
    <row r="331" spans="1:19" ht="23" customHeight="1">
      <c r="A331" s="1" t="s">
        <v>388</v>
      </c>
      <c r="B331" s="4">
        <v>46067</v>
      </c>
      <c r="C331" s="1" t="s">
        <v>18</v>
      </c>
      <c r="D331" s="1" t="s">
        <v>65</v>
      </c>
      <c r="E331" s="5">
        <v>11000</v>
      </c>
      <c r="F331" s="1">
        <v>0</v>
      </c>
      <c r="G331" s="4">
        <v>46067</v>
      </c>
      <c r="H331" s="4">
        <v>46072</v>
      </c>
      <c r="I331" s="4">
        <v>46074</v>
      </c>
      <c r="J331" s="4"/>
      <c r="K331" s="1" t="s">
        <v>55</v>
      </c>
      <c r="L331" s="1" t="str">
        <f t="shared" si="5"/>
        <v>Branch</v>
      </c>
      <c r="M331" s="1"/>
      <c r="N331" s="1"/>
      <c r="O331" s="1"/>
      <c r="P331" s="1"/>
      <c r="Q331" s="1"/>
      <c r="R331" s="1"/>
      <c r="S331" s="1"/>
    </row>
    <row r="332" spans="1:19" ht="23" customHeight="1">
      <c r="A332" s="1" t="s">
        <v>389</v>
      </c>
      <c r="B332" s="4">
        <v>46052</v>
      </c>
      <c r="C332" s="1" t="s">
        <v>18</v>
      </c>
      <c r="D332" s="1" t="s">
        <v>71</v>
      </c>
      <c r="E332" s="5">
        <v>20000</v>
      </c>
      <c r="F332" s="1">
        <v>1</v>
      </c>
      <c r="G332" s="4">
        <v>46058</v>
      </c>
      <c r="H332" s="4">
        <v>46061</v>
      </c>
      <c r="I332" s="4">
        <v>46062</v>
      </c>
      <c r="J332" s="4"/>
      <c r="K332" s="1" t="s">
        <v>55</v>
      </c>
      <c r="L332" s="1" t="str">
        <f t="shared" si="5"/>
        <v>Branch</v>
      </c>
      <c r="M332" s="1"/>
      <c r="N332" s="1"/>
      <c r="O332" s="1"/>
      <c r="P332" s="1"/>
      <c r="Q332" s="1"/>
      <c r="R332" s="1"/>
      <c r="S332" s="1"/>
    </row>
    <row r="333" spans="1:19" ht="23" customHeight="1">
      <c r="A333" s="1" t="s">
        <v>390</v>
      </c>
      <c r="B333" s="4">
        <v>46061</v>
      </c>
      <c r="C333" s="1" t="s">
        <v>18</v>
      </c>
      <c r="D333" s="1" t="s">
        <v>71</v>
      </c>
      <c r="E333" s="5">
        <v>14000</v>
      </c>
      <c r="F333" s="1">
        <v>0</v>
      </c>
      <c r="G333" s="4">
        <v>46062</v>
      </c>
      <c r="H333" s="4">
        <v>46068</v>
      </c>
      <c r="I333" s="4">
        <v>46070</v>
      </c>
      <c r="J333" s="4"/>
      <c r="K333" s="1" t="s">
        <v>55</v>
      </c>
      <c r="L333" s="1" t="str">
        <f t="shared" si="5"/>
        <v>Branch</v>
      </c>
      <c r="M333" s="1"/>
      <c r="N333" s="1"/>
      <c r="O333" s="1"/>
      <c r="P333" s="1"/>
      <c r="Q333" s="1"/>
      <c r="R333" s="1"/>
      <c r="S333" s="1"/>
    </row>
    <row r="334" spans="1:19" ht="23" customHeight="1">
      <c r="A334" s="1" t="s">
        <v>391</v>
      </c>
      <c r="B334" s="4">
        <v>46098</v>
      </c>
      <c r="C334" s="1" t="s">
        <v>19</v>
      </c>
      <c r="D334" s="1" t="s">
        <v>54</v>
      </c>
      <c r="E334" s="5">
        <v>10000</v>
      </c>
      <c r="F334" s="1">
        <v>1</v>
      </c>
      <c r="G334" s="4">
        <v>46101</v>
      </c>
      <c r="H334" s="4">
        <v>46103</v>
      </c>
      <c r="I334" s="4">
        <v>46105</v>
      </c>
      <c r="J334" s="4"/>
      <c r="K334" s="1" t="s">
        <v>55</v>
      </c>
      <c r="L334" s="1" t="str">
        <f t="shared" si="5"/>
        <v>Online</v>
      </c>
      <c r="M334" s="1"/>
      <c r="N334" s="1"/>
      <c r="O334" s="1"/>
      <c r="P334" s="1"/>
      <c r="Q334" s="1"/>
      <c r="R334" s="1"/>
      <c r="S334" s="1"/>
    </row>
    <row r="335" spans="1:19" ht="23" customHeight="1">
      <c r="A335" s="1" t="s">
        <v>392</v>
      </c>
      <c r="B335" s="4">
        <v>46028</v>
      </c>
      <c r="C335" s="1" t="s">
        <v>19</v>
      </c>
      <c r="D335" s="1" t="s">
        <v>54</v>
      </c>
      <c r="E335" s="5">
        <v>18000</v>
      </c>
      <c r="F335" s="1">
        <v>1</v>
      </c>
      <c r="G335" s="4"/>
      <c r="H335" s="4"/>
      <c r="I335" s="4"/>
      <c r="J335" s="4">
        <v>46029</v>
      </c>
      <c r="K335" s="1" t="s">
        <v>86</v>
      </c>
      <c r="L335" s="1" t="str">
        <f t="shared" si="5"/>
        <v>Online</v>
      </c>
      <c r="M335" s="1"/>
      <c r="N335" s="1"/>
      <c r="O335" s="1"/>
      <c r="P335" s="1"/>
      <c r="Q335" s="1"/>
      <c r="R335" s="1"/>
      <c r="S335" s="1"/>
    </row>
    <row r="336" spans="1:19" ht="23" customHeight="1">
      <c r="A336" s="1" t="s">
        <v>393</v>
      </c>
      <c r="B336" s="4">
        <v>46090</v>
      </c>
      <c r="C336" s="1" t="s">
        <v>19</v>
      </c>
      <c r="D336" s="1" t="s">
        <v>54</v>
      </c>
      <c r="E336" s="5">
        <v>18000</v>
      </c>
      <c r="F336" s="1">
        <v>0</v>
      </c>
      <c r="G336" s="4">
        <v>46090</v>
      </c>
      <c r="H336" s="4">
        <v>46094</v>
      </c>
      <c r="I336" s="4">
        <v>46096</v>
      </c>
      <c r="J336" s="4"/>
      <c r="K336" s="1" t="s">
        <v>55</v>
      </c>
      <c r="L336" s="1" t="str">
        <f t="shared" si="5"/>
        <v>Online</v>
      </c>
      <c r="M336" s="1"/>
      <c r="N336" s="1"/>
      <c r="O336" s="1"/>
      <c r="P336" s="1"/>
      <c r="Q336" s="1"/>
      <c r="R336" s="1"/>
      <c r="S336" s="1"/>
    </row>
    <row r="337" spans="1:19" ht="23" customHeight="1">
      <c r="A337" s="1" t="s">
        <v>394</v>
      </c>
      <c r="B337" s="4">
        <v>46048</v>
      </c>
      <c r="C337" s="1" t="s">
        <v>19</v>
      </c>
      <c r="D337" s="1" t="s">
        <v>54</v>
      </c>
      <c r="E337" s="5">
        <v>14000</v>
      </c>
      <c r="F337" s="1">
        <v>1</v>
      </c>
      <c r="G337" s="4">
        <v>46052</v>
      </c>
      <c r="H337" s="4">
        <v>46057</v>
      </c>
      <c r="I337" s="4">
        <v>46060</v>
      </c>
      <c r="J337" s="4"/>
      <c r="K337" s="1" t="s">
        <v>55</v>
      </c>
      <c r="L337" s="1" t="str">
        <f t="shared" si="5"/>
        <v>Online</v>
      </c>
      <c r="M337" s="1"/>
      <c r="N337" s="1"/>
      <c r="O337" s="1"/>
      <c r="P337" s="1"/>
      <c r="Q337" s="1"/>
      <c r="R337" s="1"/>
      <c r="S337" s="1"/>
    </row>
    <row r="338" spans="1:19" ht="23" customHeight="1">
      <c r="A338" s="1" t="s">
        <v>395</v>
      </c>
      <c r="B338" s="4">
        <v>46076</v>
      </c>
      <c r="C338" s="1" t="s">
        <v>19</v>
      </c>
      <c r="D338" s="1" t="s">
        <v>54</v>
      </c>
      <c r="E338" s="5">
        <v>38000</v>
      </c>
      <c r="F338" s="1">
        <v>1</v>
      </c>
      <c r="G338" s="4">
        <v>46081</v>
      </c>
      <c r="H338" s="4">
        <v>46087</v>
      </c>
      <c r="I338" s="4">
        <v>46090</v>
      </c>
      <c r="J338" s="4"/>
      <c r="K338" s="1" t="s">
        <v>55</v>
      </c>
      <c r="L338" s="1" t="str">
        <f t="shared" si="5"/>
        <v>Online</v>
      </c>
      <c r="M338" s="1"/>
      <c r="N338" s="1"/>
      <c r="O338" s="1"/>
      <c r="P338" s="1"/>
      <c r="Q338" s="1"/>
      <c r="R338" s="1"/>
      <c r="S338" s="1"/>
    </row>
    <row r="339" spans="1:19" ht="23" customHeight="1">
      <c r="A339" s="1" t="s">
        <v>396</v>
      </c>
      <c r="B339" s="4">
        <v>46070</v>
      </c>
      <c r="C339" s="1" t="s">
        <v>18</v>
      </c>
      <c r="D339" s="1" t="s">
        <v>71</v>
      </c>
      <c r="E339" s="5">
        <v>14000</v>
      </c>
      <c r="F339" s="1">
        <v>1</v>
      </c>
      <c r="G339" s="4">
        <v>46078</v>
      </c>
      <c r="H339" s="4">
        <v>46083</v>
      </c>
      <c r="I339" s="4">
        <v>46085</v>
      </c>
      <c r="J339" s="4"/>
      <c r="K339" s="1" t="s">
        <v>63</v>
      </c>
      <c r="L339" s="1" t="str">
        <f t="shared" si="5"/>
        <v>Branch</v>
      </c>
      <c r="M339" s="1"/>
      <c r="N339" s="1"/>
      <c r="O339" s="1"/>
      <c r="P339" s="1"/>
      <c r="Q339" s="1"/>
      <c r="R339" s="1"/>
      <c r="S339" s="1"/>
    </row>
    <row r="340" spans="1:19" ht="23" customHeight="1">
      <c r="A340" s="1" t="s">
        <v>397</v>
      </c>
      <c r="B340" s="4">
        <v>46085</v>
      </c>
      <c r="C340" s="1" t="s">
        <v>19</v>
      </c>
      <c r="D340" s="1" t="s">
        <v>54</v>
      </c>
      <c r="E340" s="5">
        <v>15000</v>
      </c>
      <c r="F340" s="1">
        <v>0</v>
      </c>
      <c r="G340" s="4">
        <v>46085</v>
      </c>
      <c r="H340" s="4">
        <v>46088</v>
      </c>
      <c r="I340" s="4">
        <v>46090</v>
      </c>
      <c r="J340" s="4"/>
      <c r="K340" s="1" t="s">
        <v>55</v>
      </c>
      <c r="L340" s="1" t="str">
        <f t="shared" si="5"/>
        <v>Online</v>
      </c>
      <c r="M340" s="1"/>
      <c r="N340" s="1"/>
      <c r="O340" s="1"/>
      <c r="P340" s="1"/>
      <c r="Q340" s="1"/>
      <c r="R340" s="1"/>
      <c r="S340" s="1"/>
    </row>
    <row r="341" spans="1:19" ht="23" customHeight="1">
      <c r="A341" s="1" t="s">
        <v>398</v>
      </c>
      <c r="B341" s="4">
        <v>46052</v>
      </c>
      <c r="C341" s="1" t="s">
        <v>19</v>
      </c>
      <c r="D341" s="1" t="s">
        <v>54</v>
      </c>
      <c r="E341" s="5">
        <v>35000</v>
      </c>
      <c r="F341" s="1">
        <v>0</v>
      </c>
      <c r="G341" s="4">
        <v>46054</v>
      </c>
      <c r="H341" s="4">
        <v>46060</v>
      </c>
      <c r="I341" s="4">
        <v>46062</v>
      </c>
      <c r="J341" s="4"/>
      <c r="K341" s="1" t="s">
        <v>55</v>
      </c>
      <c r="L341" s="1" t="str">
        <f t="shared" si="5"/>
        <v>Online</v>
      </c>
      <c r="M341" s="1"/>
      <c r="N341" s="1"/>
      <c r="O341" s="1"/>
      <c r="P341" s="1"/>
      <c r="Q341" s="1"/>
      <c r="R341" s="1"/>
      <c r="S341" s="1"/>
    </row>
    <row r="342" spans="1:19" ht="23" customHeight="1">
      <c r="A342" s="1" t="s">
        <v>399</v>
      </c>
      <c r="B342" s="4">
        <v>46045</v>
      </c>
      <c r="C342" s="1" t="s">
        <v>18</v>
      </c>
      <c r="D342" s="1" t="s">
        <v>59</v>
      </c>
      <c r="E342" s="5">
        <v>38000</v>
      </c>
      <c r="F342" s="1">
        <v>1</v>
      </c>
      <c r="G342" s="4">
        <v>46048</v>
      </c>
      <c r="H342" s="4">
        <v>46053</v>
      </c>
      <c r="I342" s="4">
        <v>46054</v>
      </c>
      <c r="J342" s="4"/>
      <c r="K342" s="1" t="s">
        <v>55</v>
      </c>
      <c r="L342" s="1" t="str">
        <f t="shared" si="5"/>
        <v>Branch</v>
      </c>
      <c r="M342" s="1"/>
      <c r="N342" s="1"/>
      <c r="O342" s="1"/>
      <c r="P342" s="1"/>
      <c r="Q342" s="1"/>
      <c r="R342" s="1"/>
      <c r="S342" s="1"/>
    </row>
    <row r="343" spans="1:19" ht="23" customHeight="1">
      <c r="A343" s="1" t="s">
        <v>400</v>
      </c>
      <c r="B343" s="4">
        <v>46095</v>
      </c>
      <c r="C343" s="1" t="s">
        <v>18</v>
      </c>
      <c r="D343" s="1" t="s">
        <v>62</v>
      </c>
      <c r="E343" s="5">
        <v>23000</v>
      </c>
      <c r="F343" s="1">
        <v>1</v>
      </c>
      <c r="G343" s="4"/>
      <c r="H343" s="4"/>
      <c r="I343" s="4"/>
      <c r="J343" s="4">
        <v>46098</v>
      </c>
      <c r="K343" s="1" t="s">
        <v>86</v>
      </c>
      <c r="L343" s="1" t="str">
        <f t="shared" si="5"/>
        <v>Branch</v>
      </c>
      <c r="M343" s="1"/>
      <c r="N343" s="1"/>
      <c r="O343" s="1"/>
      <c r="P343" s="1"/>
      <c r="Q343" s="1"/>
      <c r="R343" s="1"/>
      <c r="S343" s="1"/>
    </row>
    <row r="344" spans="1:19" ht="23" customHeight="1">
      <c r="A344" s="1" t="s">
        <v>401</v>
      </c>
      <c r="B344" s="4">
        <v>46083</v>
      </c>
      <c r="C344" s="1" t="s">
        <v>18</v>
      </c>
      <c r="D344" s="1" t="s">
        <v>65</v>
      </c>
      <c r="E344" s="5">
        <v>38000</v>
      </c>
      <c r="F344" s="1">
        <v>0</v>
      </c>
      <c r="G344" s="4">
        <v>46085</v>
      </c>
      <c r="H344" s="4">
        <v>46087</v>
      </c>
      <c r="I344" s="4">
        <v>46089</v>
      </c>
      <c r="J344" s="4"/>
      <c r="K344" s="1" t="s">
        <v>55</v>
      </c>
      <c r="L344" s="1" t="str">
        <f t="shared" si="5"/>
        <v>Branch</v>
      </c>
      <c r="M344" s="1"/>
      <c r="N344" s="1"/>
      <c r="O344" s="1"/>
      <c r="P344" s="1"/>
      <c r="Q344" s="1"/>
      <c r="R344" s="1"/>
      <c r="S344" s="1"/>
    </row>
    <row r="345" spans="1:19" ht="23" customHeight="1">
      <c r="A345" s="1" t="s">
        <v>402</v>
      </c>
      <c r="B345" s="4">
        <v>46075</v>
      </c>
      <c r="C345" s="1" t="s">
        <v>18</v>
      </c>
      <c r="D345" s="1" t="s">
        <v>65</v>
      </c>
      <c r="E345" s="5">
        <v>32000</v>
      </c>
      <c r="F345" s="1">
        <v>0</v>
      </c>
      <c r="G345" s="4">
        <v>46076</v>
      </c>
      <c r="H345" s="4">
        <v>46082</v>
      </c>
      <c r="I345" s="4">
        <v>46083</v>
      </c>
      <c r="J345" s="4"/>
      <c r="K345" s="1" t="s">
        <v>55</v>
      </c>
      <c r="L345" s="1" t="str">
        <f t="shared" si="5"/>
        <v>Branch</v>
      </c>
      <c r="M345" s="1"/>
      <c r="N345" s="1"/>
      <c r="O345" s="1"/>
      <c r="P345" s="1"/>
      <c r="Q345" s="1"/>
      <c r="R345" s="1"/>
      <c r="S345" s="1"/>
    </row>
    <row r="346" spans="1:19" ht="23" customHeight="1">
      <c r="A346" s="1" t="s">
        <v>403</v>
      </c>
      <c r="B346" s="4">
        <v>46100</v>
      </c>
      <c r="C346" s="1" t="s">
        <v>19</v>
      </c>
      <c r="D346" s="1" t="s">
        <v>54</v>
      </c>
      <c r="E346" s="5">
        <v>36000</v>
      </c>
      <c r="F346" s="1">
        <v>0</v>
      </c>
      <c r="G346" s="4">
        <v>46101</v>
      </c>
      <c r="H346" s="4">
        <v>46104</v>
      </c>
      <c r="I346" s="4">
        <v>46106</v>
      </c>
      <c r="J346" s="4"/>
      <c r="K346" s="1" t="s">
        <v>55</v>
      </c>
      <c r="L346" s="1" t="str">
        <f t="shared" si="5"/>
        <v>Online</v>
      </c>
      <c r="M346" s="1"/>
      <c r="N346" s="1"/>
      <c r="O346" s="1"/>
      <c r="P346" s="1"/>
      <c r="Q346" s="1"/>
      <c r="R346" s="1"/>
      <c r="S346" s="1"/>
    </row>
    <row r="347" spans="1:19" ht="23" customHeight="1">
      <c r="A347" s="1" t="s">
        <v>404</v>
      </c>
      <c r="B347" s="4">
        <v>46102</v>
      </c>
      <c r="C347" s="1" t="s">
        <v>19</v>
      </c>
      <c r="D347" s="1" t="s">
        <v>54</v>
      </c>
      <c r="E347" s="5">
        <v>18000</v>
      </c>
      <c r="F347" s="1">
        <v>0</v>
      </c>
      <c r="G347" s="4">
        <v>46103</v>
      </c>
      <c r="H347" s="4">
        <v>46107</v>
      </c>
      <c r="I347" s="4">
        <v>46108</v>
      </c>
      <c r="J347" s="4"/>
      <c r="K347" s="1" t="s">
        <v>55</v>
      </c>
      <c r="L347" s="1" t="str">
        <f t="shared" si="5"/>
        <v>Online</v>
      </c>
      <c r="M347" s="1"/>
      <c r="N347" s="1"/>
      <c r="O347" s="1"/>
      <c r="P347" s="1"/>
      <c r="Q347" s="1"/>
      <c r="R347" s="1"/>
      <c r="S347" s="1"/>
    </row>
    <row r="348" spans="1:19" ht="23" customHeight="1">
      <c r="A348" s="1" t="s">
        <v>405</v>
      </c>
      <c r="B348" s="4">
        <v>46104</v>
      </c>
      <c r="C348" s="1" t="s">
        <v>18</v>
      </c>
      <c r="D348" s="1" t="s">
        <v>71</v>
      </c>
      <c r="E348" s="5">
        <v>27000</v>
      </c>
      <c r="F348" s="1">
        <v>1</v>
      </c>
      <c r="G348" s="4">
        <v>46112</v>
      </c>
      <c r="H348" s="4"/>
      <c r="I348" s="4"/>
      <c r="J348" s="4"/>
      <c r="K348" s="1" t="s">
        <v>69</v>
      </c>
      <c r="L348" s="1" t="str">
        <f t="shared" si="5"/>
        <v>Branch</v>
      </c>
      <c r="M348" s="1"/>
      <c r="N348" s="1"/>
      <c r="O348" s="1"/>
      <c r="P348" s="1"/>
      <c r="Q348" s="1"/>
      <c r="R348" s="1"/>
      <c r="S348" s="1"/>
    </row>
    <row r="349" spans="1:19" ht="23" customHeight="1">
      <c r="A349" s="1" t="s">
        <v>406</v>
      </c>
      <c r="B349" s="4">
        <v>46032</v>
      </c>
      <c r="C349" s="1" t="s">
        <v>18</v>
      </c>
      <c r="D349" s="1" t="s">
        <v>62</v>
      </c>
      <c r="E349" s="5">
        <v>18000</v>
      </c>
      <c r="F349" s="1">
        <v>1</v>
      </c>
      <c r="G349" s="4"/>
      <c r="H349" s="4"/>
      <c r="I349" s="4"/>
      <c r="J349" s="4">
        <v>46035</v>
      </c>
      <c r="K349" s="1" t="s">
        <v>86</v>
      </c>
      <c r="L349" s="1" t="str">
        <f t="shared" si="5"/>
        <v>Branch</v>
      </c>
      <c r="M349" s="1"/>
      <c r="N349" s="1"/>
      <c r="O349" s="1"/>
      <c r="P349" s="1"/>
      <c r="Q349" s="1"/>
      <c r="R349" s="1"/>
      <c r="S349" s="1"/>
    </row>
    <row r="350" spans="1:19" ht="23" customHeight="1">
      <c r="A350" s="1" t="s">
        <v>407</v>
      </c>
      <c r="B350" s="4">
        <v>46107</v>
      </c>
      <c r="C350" s="1" t="s">
        <v>19</v>
      </c>
      <c r="D350" s="1" t="s">
        <v>54</v>
      </c>
      <c r="E350" s="5">
        <v>23000</v>
      </c>
      <c r="F350" s="1">
        <v>0</v>
      </c>
      <c r="G350" s="4">
        <v>46108</v>
      </c>
      <c r="H350" s="4"/>
      <c r="I350" s="4"/>
      <c r="J350" s="4"/>
      <c r="K350" s="1" t="s">
        <v>69</v>
      </c>
      <c r="L350" s="1" t="str">
        <f t="shared" si="5"/>
        <v>Online</v>
      </c>
      <c r="M350" s="1"/>
      <c r="N350" s="1"/>
      <c r="O350" s="1"/>
      <c r="P350" s="1"/>
      <c r="Q350" s="1"/>
      <c r="R350" s="1"/>
      <c r="S350" s="1"/>
    </row>
    <row r="351" spans="1:19" ht="23" customHeight="1">
      <c r="A351" s="1" t="s">
        <v>408</v>
      </c>
      <c r="B351" s="4">
        <v>46082</v>
      </c>
      <c r="C351" s="1" t="s">
        <v>19</v>
      </c>
      <c r="D351" s="1" t="s">
        <v>54</v>
      </c>
      <c r="E351" s="5">
        <v>5000</v>
      </c>
      <c r="F351" s="1">
        <v>0</v>
      </c>
      <c r="G351" s="4">
        <v>46084</v>
      </c>
      <c r="H351" s="4">
        <v>46088</v>
      </c>
      <c r="I351" s="4">
        <v>46089</v>
      </c>
      <c r="J351" s="4"/>
      <c r="K351" s="1" t="s">
        <v>55</v>
      </c>
      <c r="L351" s="1" t="str">
        <f t="shared" si="5"/>
        <v>Online</v>
      </c>
      <c r="M351" s="1"/>
      <c r="N351" s="1"/>
      <c r="O351" s="1"/>
      <c r="P351" s="1"/>
      <c r="Q351" s="1"/>
      <c r="R351" s="1"/>
      <c r="S351" s="1"/>
    </row>
    <row r="352" spans="1:19" ht="23" customHeight="1">
      <c r="A352" s="1" t="s">
        <v>409</v>
      </c>
      <c r="B352" s="4">
        <v>46037</v>
      </c>
      <c r="C352" s="1" t="s">
        <v>19</v>
      </c>
      <c r="D352" s="1" t="s">
        <v>54</v>
      </c>
      <c r="E352" s="5">
        <v>23000</v>
      </c>
      <c r="F352" s="1">
        <v>0</v>
      </c>
      <c r="G352" s="4">
        <v>46039</v>
      </c>
      <c r="H352" s="4">
        <v>46043</v>
      </c>
      <c r="I352" s="4">
        <v>46046</v>
      </c>
      <c r="J352" s="4"/>
      <c r="K352" s="1" t="s">
        <v>63</v>
      </c>
      <c r="L352" s="1" t="str">
        <f t="shared" si="5"/>
        <v>Online</v>
      </c>
      <c r="M352" s="1"/>
      <c r="N352" s="1"/>
      <c r="O352" s="1"/>
      <c r="P352" s="1"/>
      <c r="Q352" s="1"/>
      <c r="R352" s="1"/>
      <c r="S352" s="1"/>
    </row>
    <row r="353" spans="1:19" ht="23" customHeight="1">
      <c r="A353" s="1" t="s">
        <v>410</v>
      </c>
      <c r="B353" s="4">
        <v>46041</v>
      </c>
      <c r="C353" s="1" t="s">
        <v>18</v>
      </c>
      <c r="D353" s="1" t="s">
        <v>59</v>
      </c>
      <c r="E353" s="5">
        <v>48000</v>
      </c>
      <c r="F353" s="1">
        <v>0</v>
      </c>
      <c r="G353" s="4">
        <v>46043</v>
      </c>
      <c r="H353" s="4">
        <v>46045</v>
      </c>
      <c r="I353" s="4">
        <v>46047</v>
      </c>
      <c r="J353" s="4"/>
      <c r="K353" s="1" t="s">
        <v>55</v>
      </c>
      <c r="L353" s="1" t="str">
        <f t="shared" si="5"/>
        <v>Branch</v>
      </c>
      <c r="M353" s="1"/>
      <c r="N353" s="1"/>
      <c r="O353" s="1"/>
      <c r="P353" s="1"/>
      <c r="Q353" s="1"/>
      <c r="R353" s="1"/>
      <c r="S353" s="1"/>
    </row>
    <row r="354" spans="1:19" ht="23" customHeight="1">
      <c r="A354" s="1" t="s">
        <v>411</v>
      </c>
      <c r="B354" s="4">
        <v>46097</v>
      </c>
      <c r="C354" s="1" t="s">
        <v>18</v>
      </c>
      <c r="D354" s="1" t="s">
        <v>71</v>
      </c>
      <c r="E354" s="5">
        <v>13000</v>
      </c>
      <c r="F354" s="1">
        <v>0</v>
      </c>
      <c r="G354" s="4">
        <v>46097</v>
      </c>
      <c r="H354" s="4">
        <v>46101</v>
      </c>
      <c r="I354" s="4">
        <v>46102</v>
      </c>
      <c r="J354" s="4"/>
      <c r="K354" s="1" t="s">
        <v>55</v>
      </c>
      <c r="L354" s="1" t="str">
        <f t="shared" si="5"/>
        <v>Branch</v>
      </c>
      <c r="M354" s="1"/>
      <c r="N354" s="1"/>
      <c r="O354" s="1"/>
      <c r="P354" s="1"/>
      <c r="Q354" s="1"/>
      <c r="R354" s="1"/>
      <c r="S354" s="1"/>
    </row>
    <row r="355" spans="1:19" ht="23" customHeight="1">
      <c r="A355" s="1" t="s">
        <v>412</v>
      </c>
      <c r="B355" s="4">
        <v>46081</v>
      </c>
      <c r="C355" s="1" t="s">
        <v>18</v>
      </c>
      <c r="D355" s="1" t="s">
        <v>62</v>
      </c>
      <c r="E355" s="5">
        <v>41000</v>
      </c>
      <c r="F355" s="1">
        <v>0</v>
      </c>
      <c r="G355" s="4">
        <v>46082</v>
      </c>
      <c r="H355" s="4">
        <v>46086</v>
      </c>
      <c r="I355" s="4">
        <v>46089</v>
      </c>
      <c r="J355" s="4"/>
      <c r="K355" s="1" t="s">
        <v>55</v>
      </c>
      <c r="L355" s="1" t="str">
        <f t="shared" si="5"/>
        <v>Branch</v>
      </c>
      <c r="M355" s="1"/>
      <c r="N355" s="1"/>
      <c r="O355" s="1"/>
      <c r="P355" s="1"/>
      <c r="Q355" s="1"/>
      <c r="R355" s="1"/>
      <c r="S355" s="1"/>
    </row>
    <row r="356" spans="1:19" ht="23" customHeight="1">
      <c r="A356" s="1" t="s">
        <v>413</v>
      </c>
      <c r="B356" s="4">
        <v>46041</v>
      </c>
      <c r="C356" s="1" t="s">
        <v>18</v>
      </c>
      <c r="D356" s="1" t="s">
        <v>62</v>
      </c>
      <c r="E356" s="5">
        <v>22000</v>
      </c>
      <c r="F356" s="1">
        <v>0</v>
      </c>
      <c r="G356" s="4">
        <v>46041</v>
      </c>
      <c r="H356" s="4">
        <v>46048</v>
      </c>
      <c r="I356" s="4">
        <v>46051</v>
      </c>
      <c r="J356" s="4"/>
      <c r="K356" s="1" t="s">
        <v>55</v>
      </c>
      <c r="L356" s="1" t="str">
        <f t="shared" si="5"/>
        <v>Branch</v>
      </c>
      <c r="M356" s="1"/>
      <c r="N356" s="1"/>
      <c r="O356" s="1"/>
      <c r="P356" s="1"/>
      <c r="Q356" s="1"/>
      <c r="R356" s="1"/>
      <c r="S356" s="1"/>
    </row>
    <row r="357" spans="1:19" ht="23" customHeight="1">
      <c r="A357" s="1" t="s">
        <v>414</v>
      </c>
      <c r="B357" s="4">
        <v>46077</v>
      </c>
      <c r="C357" s="1" t="s">
        <v>18</v>
      </c>
      <c r="D357" s="1" t="s">
        <v>59</v>
      </c>
      <c r="E357" s="5">
        <v>12000</v>
      </c>
      <c r="F357" s="1">
        <v>0</v>
      </c>
      <c r="G357" s="4">
        <v>46078</v>
      </c>
      <c r="H357" s="4">
        <v>46080</v>
      </c>
      <c r="I357" s="4">
        <v>46082</v>
      </c>
      <c r="J357" s="4"/>
      <c r="K357" s="1" t="s">
        <v>55</v>
      </c>
      <c r="L357" s="1" t="str">
        <f t="shared" si="5"/>
        <v>Branch</v>
      </c>
      <c r="M357" s="1"/>
      <c r="N357" s="1"/>
      <c r="O357" s="1"/>
      <c r="P357" s="1"/>
      <c r="Q357" s="1"/>
      <c r="R357" s="1"/>
      <c r="S357" s="1"/>
    </row>
    <row r="358" spans="1:19" ht="23" customHeight="1">
      <c r="A358" s="1" t="s">
        <v>415</v>
      </c>
      <c r="B358" s="4">
        <v>46066</v>
      </c>
      <c r="C358" s="1" t="s">
        <v>18</v>
      </c>
      <c r="D358" s="1" t="s">
        <v>65</v>
      </c>
      <c r="E358" s="5">
        <v>34000</v>
      </c>
      <c r="F358" s="1">
        <v>0</v>
      </c>
      <c r="G358" s="4">
        <v>46068</v>
      </c>
      <c r="H358" s="4">
        <v>46073</v>
      </c>
      <c r="I358" s="4">
        <v>46075</v>
      </c>
      <c r="J358" s="4"/>
      <c r="K358" s="1" t="s">
        <v>55</v>
      </c>
      <c r="L358" s="1" t="str">
        <f t="shared" si="5"/>
        <v>Branch</v>
      </c>
      <c r="M358" s="1"/>
      <c r="N358" s="1"/>
      <c r="O358" s="1"/>
      <c r="P358" s="1"/>
      <c r="Q358" s="1"/>
      <c r="R358" s="1"/>
      <c r="S358" s="1"/>
    </row>
    <row r="359" spans="1:19" ht="23" customHeight="1">
      <c r="A359" s="1" t="s">
        <v>416</v>
      </c>
      <c r="B359" s="4">
        <v>46065</v>
      </c>
      <c r="C359" s="1" t="s">
        <v>19</v>
      </c>
      <c r="D359" s="1" t="s">
        <v>54</v>
      </c>
      <c r="E359" s="5">
        <v>47000</v>
      </c>
      <c r="F359" s="1">
        <v>0</v>
      </c>
      <c r="G359" s="4">
        <v>46065</v>
      </c>
      <c r="H359" s="4">
        <v>46066</v>
      </c>
      <c r="I359" s="4">
        <v>46069</v>
      </c>
      <c r="J359" s="4"/>
      <c r="K359" s="1" t="s">
        <v>55</v>
      </c>
      <c r="L359" s="1" t="str">
        <f t="shared" si="5"/>
        <v>Online</v>
      </c>
      <c r="M359" s="1"/>
      <c r="N359" s="1"/>
      <c r="O359" s="1"/>
      <c r="P359" s="1"/>
      <c r="Q359" s="1"/>
      <c r="R359" s="1"/>
      <c r="S359" s="1"/>
    </row>
    <row r="360" spans="1:19" ht="23" customHeight="1">
      <c r="A360" s="1" t="s">
        <v>417</v>
      </c>
      <c r="B360" s="4">
        <v>46033</v>
      </c>
      <c r="C360" s="1" t="s">
        <v>18</v>
      </c>
      <c r="D360" s="1" t="s">
        <v>65</v>
      </c>
      <c r="E360" s="5">
        <v>48000</v>
      </c>
      <c r="F360" s="1">
        <v>1</v>
      </c>
      <c r="G360" s="4">
        <v>46042</v>
      </c>
      <c r="H360" s="4">
        <v>46047</v>
      </c>
      <c r="I360" s="4">
        <v>46050</v>
      </c>
      <c r="J360" s="4"/>
      <c r="K360" s="1" t="s">
        <v>55</v>
      </c>
      <c r="L360" s="1" t="str">
        <f t="shared" si="5"/>
        <v>Branch</v>
      </c>
      <c r="M360" s="1"/>
      <c r="N360" s="1"/>
      <c r="O360" s="1"/>
      <c r="P360" s="1"/>
      <c r="Q360" s="1"/>
      <c r="R360" s="1"/>
      <c r="S360" s="1"/>
    </row>
    <row r="361" spans="1:19" ht="23" customHeight="1">
      <c r="A361" s="1" t="s">
        <v>418</v>
      </c>
      <c r="B361" s="4">
        <v>46105</v>
      </c>
      <c r="C361" s="1" t="s">
        <v>19</v>
      </c>
      <c r="D361" s="1" t="s">
        <v>54</v>
      </c>
      <c r="E361" s="5">
        <v>23000</v>
      </c>
      <c r="F361" s="1">
        <v>0</v>
      </c>
      <c r="G361" s="4">
        <v>46107</v>
      </c>
      <c r="H361" s="4">
        <v>46111</v>
      </c>
      <c r="I361" s="4"/>
      <c r="J361" s="4"/>
      <c r="K361" s="1" t="s">
        <v>69</v>
      </c>
      <c r="L361" s="1" t="str">
        <f t="shared" si="5"/>
        <v>Online</v>
      </c>
      <c r="M361" s="1"/>
      <c r="N361" s="1"/>
      <c r="O361" s="1"/>
      <c r="P361" s="1"/>
      <c r="Q361" s="1"/>
      <c r="R361" s="1"/>
      <c r="S361" s="1"/>
    </row>
    <row r="362" spans="1:19" ht="23" customHeight="1">
      <c r="A362" s="1" t="s">
        <v>419</v>
      </c>
      <c r="B362" s="4">
        <v>46038</v>
      </c>
      <c r="C362" s="1" t="s">
        <v>18</v>
      </c>
      <c r="D362" s="1" t="s">
        <v>59</v>
      </c>
      <c r="E362" s="5">
        <v>36000</v>
      </c>
      <c r="F362" s="1">
        <v>0</v>
      </c>
      <c r="G362" s="4">
        <v>46038</v>
      </c>
      <c r="H362" s="4">
        <v>46044</v>
      </c>
      <c r="I362" s="4">
        <v>46046</v>
      </c>
      <c r="J362" s="4"/>
      <c r="K362" s="1" t="s">
        <v>55</v>
      </c>
      <c r="L362" s="1" t="str">
        <f t="shared" si="5"/>
        <v>Branch</v>
      </c>
      <c r="M362" s="1"/>
      <c r="N362" s="1"/>
      <c r="O362" s="1"/>
      <c r="P362" s="1"/>
      <c r="Q362" s="1"/>
      <c r="R362" s="1"/>
      <c r="S362" s="1"/>
    </row>
    <row r="363" spans="1:19" ht="23" customHeight="1">
      <c r="A363" s="1" t="s">
        <v>420</v>
      </c>
      <c r="B363" s="4">
        <v>46079</v>
      </c>
      <c r="C363" s="1" t="s">
        <v>18</v>
      </c>
      <c r="D363" s="1" t="s">
        <v>62</v>
      </c>
      <c r="E363" s="5">
        <v>45000</v>
      </c>
      <c r="F363" s="1">
        <v>1</v>
      </c>
      <c r="G363" s="4">
        <v>46087</v>
      </c>
      <c r="H363" s="4">
        <v>46094</v>
      </c>
      <c r="I363" s="4">
        <v>46095</v>
      </c>
      <c r="J363" s="4"/>
      <c r="K363" s="1" t="s">
        <v>55</v>
      </c>
      <c r="L363" s="1" t="str">
        <f t="shared" si="5"/>
        <v>Branch</v>
      </c>
      <c r="M363" s="1"/>
      <c r="N363" s="1"/>
      <c r="O363" s="1"/>
      <c r="P363" s="1"/>
      <c r="Q363" s="1"/>
      <c r="R363" s="1"/>
      <c r="S363" s="1"/>
    </row>
    <row r="364" spans="1:19" ht="23" customHeight="1">
      <c r="A364" s="1" t="s">
        <v>421</v>
      </c>
      <c r="B364" s="4">
        <v>46085</v>
      </c>
      <c r="C364" s="1" t="s">
        <v>18</v>
      </c>
      <c r="D364" s="1" t="s">
        <v>62</v>
      </c>
      <c r="E364" s="5">
        <v>33000</v>
      </c>
      <c r="F364" s="1">
        <v>0</v>
      </c>
      <c r="G364" s="4">
        <v>46085</v>
      </c>
      <c r="H364" s="4">
        <v>46088</v>
      </c>
      <c r="I364" s="4">
        <v>46089</v>
      </c>
      <c r="J364" s="4"/>
      <c r="K364" s="1" t="s">
        <v>55</v>
      </c>
      <c r="L364" s="1" t="str">
        <f t="shared" si="5"/>
        <v>Branch</v>
      </c>
      <c r="M364" s="1"/>
      <c r="N364" s="1"/>
      <c r="O364" s="1"/>
      <c r="P364" s="1"/>
      <c r="Q364" s="1"/>
      <c r="R364" s="1"/>
      <c r="S364" s="1"/>
    </row>
    <row r="365" spans="1:19" ht="23" customHeight="1">
      <c r="A365" s="1" t="s">
        <v>422</v>
      </c>
      <c r="B365" s="4">
        <v>46076</v>
      </c>
      <c r="C365" s="1" t="s">
        <v>18</v>
      </c>
      <c r="D365" s="1" t="s">
        <v>71</v>
      </c>
      <c r="E365" s="5">
        <v>8000</v>
      </c>
      <c r="F365" s="1">
        <v>0</v>
      </c>
      <c r="G365" s="4">
        <v>46076</v>
      </c>
      <c r="H365" s="4">
        <v>46079</v>
      </c>
      <c r="I365" s="4">
        <v>46080</v>
      </c>
      <c r="J365" s="4"/>
      <c r="K365" s="1" t="s">
        <v>55</v>
      </c>
      <c r="L365" s="1" t="str">
        <f t="shared" si="5"/>
        <v>Branch</v>
      </c>
      <c r="M365" s="1"/>
      <c r="N365" s="1"/>
      <c r="O365" s="1"/>
      <c r="P365" s="1"/>
      <c r="Q365" s="1"/>
      <c r="R365" s="1"/>
      <c r="S365" s="1"/>
    </row>
    <row r="366" spans="1:19" ht="23" customHeight="1">
      <c r="A366" s="1" t="s">
        <v>423</v>
      </c>
      <c r="B366" s="4">
        <v>46087</v>
      </c>
      <c r="C366" s="1" t="s">
        <v>18</v>
      </c>
      <c r="D366" s="1" t="s">
        <v>65</v>
      </c>
      <c r="E366" s="5">
        <v>7000</v>
      </c>
      <c r="F366" s="1">
        <v>1</v>
      </c>
      <c r="G366" s="4"/>
      <c r="H366" s="4"/>
      <c r="I366" s="4"/>
      <c r="J366" s="4">
        <v>46095</v>
      </c>
      <c r="K366" s="1" t="s">
        <v>86</v>
      </c>
      <c r="L366" s="1" t="str">
        <f t="shared" si="5"/>
        <v>Branch</v>
      </c>
      <c r="M366" s="1"/>
      <c r="N366" s="1"/>
      <c r="O366" s="1"/>
      <c r="P366" s="1"/>
      <c r="Q366" s="1"/>
      <c r="R366" s="1"/>
      <c r="S366" s="1"/>
    </row>
    <row r="367" spans="1:19" ht="23" customHeight="1">
      <c r="A367" s="1" t="s">
        <v>424</v>
      </c>
      <c r="B367" s="4">
        <v>46043</v>
      </c>
      <c r="C367" s="1" t="s">
        <v>19</v>
      </c>
      <c r="D367" s="1" t="s">
        <v>54</v>
      </c>
      <c r="E367" s="5">
        <v>38000</v>
      </c>
      <c r="F367" s="1">
        <v>0</v>
      </c>
      <c r="G367" s="4">
        <v>46044</v>
      </c>
      <c r="H367" s="4">
        <v>46045</v>
      </c>
      <c r="I367" s="4">
        <v>46048</v>
      </c>
      <c r="J367" s="4"/>
      <c r="K367" s="1" t="s">
        <v>55</v>
      </c>
      <c r="L367" s="1" t="str">
        <f t="shared" si="5"/>
        <v>Online</v>
      </c>
      <c r="M367" s="1"/>
      <c r="N367" s="1"/>
      <c r="O367" s="1"/>
      <c r="P367" s="1"/>
      <c r="Q367" s="1"/>
      <c r="R367" s="1"/>
      <c r="S367" s="1"/>
    </row>
    <row r="368" spans="1:19" ht="23" customHeight="1">
      <c r="A368" s="1" t="s">
        <v>425</v>
      </c>
      <c r="B368" s="4">
        <v>46091</v>
      </c>
      <c r="C368" s="1" t="s">
        <v>18</v>
      </c>
      <c r="D368" s="1" t="s">
        <v>59</v>
      </c>
      <c r="E368" s="5">
        <v>47000</v>
      </c>
      <c r="F368" s="1">
        <v>0</v>
      </c>
      <c r="G368" s="4">
        <v>46092</v>
      </c>
      <c r="H368" s="4">
        <v>46095</v>
      </c>
      <c r="I368" s="4">
        <v>46098</v>
      </c>
      <c r="J368" s="4"/>
      <c r="K368" s="1" t="s">
        <v>55</v>
      </c>
      <c r="L368" s="1" t="str">
        <f t="shared" si="5"/>
        <v>Branch</v>
      </c>
      <c r="M368" s="1"/>
      <c r="N368" s="1"/>
      <c r="O368" s="1"/>
      <c r="P368" s="1"/>
      <c r="Q368" s="1"/>
      <c r="R368" s="1"/>
      <c r="S368" s="1"/>
    </row>
    <row r="369" spans="1:19" ht="23" customHeight="1">
      <c r="A369" s="1" t="s">
        <v>426</v>
      </c>
      <c r="B369" s="4">
        <v>46046</v>
      </c>
      <c r="C369" s="1" t="s">
        <v>18</v>
      </c>
      <c r="D369" s="1" t="s">
        <v>59</v>
      </c>
      <c r="E369" s="5">
        <v>39000</v>
      </c>
      <c r="F369" s="1">
        <v>0</v>
      </c>
      <c r="G369" s="4">
        <v>46047</v>
      </c>
      <c r="H369" s="4">
        <v>46053</v>
      </c>
      <c r="I369" s="4">
        <v>46055</v>
      </c>
      <c r="J369" s="4"/>
      <c r="K369" s="1" t="s">
        <v>55</v>
      </c>
      <c r="L369" s="1" t="str">
        <f t="shared" si="5"/>
        <v>Branch</v>
      </c>
      <c r="M369" s="1"/>
      <c r="N369" s="1"/>
      <c r="O369" s="1"/>
      <c r="P369" s="1"/>
      <c r="Q369" s="1"/>
      <c r="R369" s="1"/>
      <c r="S369" s="1"/>
    </row>
    <row r="370" spans="1:19" ht="23" customHeight="1">
      <c r="A370" s="1" t="s">
        <v>427</v>
      </c>
      <c r="B370" s="4">
        <v>46045</v>
      </c>
      <c r="C370" s="1" t="s">
        <v>18</v>
      </c>
      <c r="D370" s="1" t="s">
        <v>62</v>
      </c>
      <c r="E370" s="5">
        <v>18000</v>
      </c>
      <c r="F370" s="1">
        <v>0</v>
      </c>
      <c r="G370" s="4">
        <v>46045</v>
      </c>
      <c r="H370" s="4">
        <v>46053</v>
      </c>
      <c r="I370" s="4">
        <v>46055</v>
      </c>
      <c r="J370" s="4"/>
      <c r="K370" s="1" t="s">
        <v>55</v>
      </c>
      <c r="L370" s="1" t="str">
        <f t="shared" si="5"/>
        <v>Branch</v>
      </c>
      <c r="M370" s="1"/>
      <c r="N370" s="1"/>
      <c r="O370" s="1"/>
      <c r="P370" s="1"/>
      <c r="Q370" s="1"/>
      <c r="R370" s="1"/>
      <c r="S370" s="1"/>
    </row>
    <row r="371" spans="1:19" ht="23" customHeight="1">
      <c r="A371" s="1" t="s">
        <v>428</v>
      </c>
      <c r="B371" s="4">
        <v>46027</v>
      </c>
      <c r="C371" s="1" t="s">
        <v>19</v>
      </c>
      <c r="D371" s="1" t="s">
        <v>54</v>
      </c>
      <c r="E371" s="5">
        <v>15000</v>
      </c>
      <c r="F371" s="1">
        <v>1</v>
      </c>
      <c r="G371" s="4">
        <v>46030</v>
      </c>
      <c r="H371" s="4">
        <v>46032</v>
      </c>
      <c r="I371" s="4">
        <v>46034</v>
      </c>
      <c r="J371" s="4"/>
      <c r="K371" s="1" t="s">
        <v>55</v>
      </c>
      <c r="L371" s="1" t="str">
        <f t="shared" si="5"/>
        <v>Online</v>
      </c>
      <c r="M371" s="1"/>
      <c r="N371" s="1"/>
      <c r="O371" s="1"/>
      <c r="P371" s="1"/>
      <c r="Q371" s="1"/>
      <c r="R371" s="1"/>
      <c r="S371" s="1"/>
    </row>
    <row r="372" spans="1:19" ht="23" customHeight="1">
      <c r="A372" s="1" t="s">
        <v>429</v>
      </c>
      <c r="B372" s="4">
        <v>46069</v>
      </c>
      <c r="C372" s="1" t="s">
        <v>19</v>
      </c>
      <c r="D372" s="1" t="s">
        <v>54</v>
      </c>
      <c r="E372" s="5">
        <v>9000</v>
      </c>
      <c r="F372" s="1">
        <v>0</v>
      </c>
      <c r="G372" s="4">
        <v>46071</v>
      </c>
      <c r="H372" s="4">
        <v>46075</v>
      </c>
      <c r="I372" s="4">
        <v>46076</v>
      </c>
      <c r="J372" s="4"/>
      <c r="K372" s="1" t="s">
        <v>55</v>
      </c>
      <c r="L372" s="1" t="str">
        <f t="shared" si="5"/>
        <v>Online</v>
      </c>
      <c r="M372" s="1"/>
      <c r="N372" s="1"/>
      <c r="O372" s="1"/>
      <c r="P372" s="1"/>
      <c r="Q372" s="1"/>
      <c r="R372" s="1"/>
      <c r="S372" s="1"/>
    </row>
    <row r="373" spans="1:19" ht="23" customHeight="1">
      <c r="A373" s="1" t="s">
        <v>430</v>
      </c>
      <c r="B373" s="4">
        <v>46059</v>
      </c>
      <c r="C373" s="1" t="s">
        <v>19</v>
      </c>
      <c r="D373" s="1" t="s">
        <v>54</v>
      </c>
      <c r="E373" s="5">
        <v>6000</v>
      </c>
      <c r="F373" s="1">
        <v>0</v>
      </c>
      <c r="G373" s="4">
        <v>46060</v>
      </c>
      <c r="H373" s="4">
        <v>46063</v>
      </c>
      <c r="I373" s="4">
        <v>46066</v>
      </c>
      <c r="J373" s="4"/>
      <c r="K373" s="1" t="s">
        <v>55</v>
      </c>
      <c r="L373" s="1" t="str">
        <f t="shared" si="5"/>
        <v>Online</v>
      </c>
      <c r="M373" s="1"/>
      <c r="N373" s="1"/>
      <c r="O373" s="1"/>
      <c r="P373" s="1"/>
      <c r="Q373" s="1"/>
      <c r="R373" s="1"/>
      <c r="S373" s="1"/>
    </row>
    <row r="374" spans="1:19" ht="23" customHeight="1">
      <c r="A374" s="1" t="s">
        <v>431</v>
      </c>
      <c r="B374" s="4">
        <v>46037</v>
      </c>
      <c r="C374" s="1" t="s">
        <v>19</v>
      </c>
      <c r="D374" s="1" t="s">
        <v>54</v>
      </c>
      <c r="E374" s="5">
        <v>7000</v>
      </c>
      <c r="F374" s="1">
        <v>0</v>
      </c>
      <c r="G374" s="4">
        <v>46037</v>
      </c>
      <c r="H374" s="4">
        <v>46043</v>
      </c>
      <c r="I374" s="4">
        <v>46046</v>
      </c>
      <c r="J374" s="4"/>
      <c r="K374" s="1" t="s">
        <v>55</v>
      </c>
      <c r="L374" s="1" t="str">
        <f t="shared" si="5"/>
        <v>Online</v>
      </c>
      <c r="M374" s="1"/>
      <c r="N374" s="1"/>
      <c r="O374" s="1"/>
      <c r="P374" s="1"/>
      <c r="Q374" s="1"/>
      <c r="R374" s="1"/>
      <c r="S374" s="1"/>
    </row>
    <row r="375" spans="1:19" ht="23" customHeight="1">
      <c r="A375" s="1" t="s">
        <v>432</v>
      </c>
      <c r="B375" s="4">
        <v>46108</v>
      </c>
      <c r="C375" s="1" t="s">
        <v>19</v>
      </c>
      <c r="D375" s="1" t="s">
        <v>54</v>
      </c>
      <c r="E375" s="5">
        <v>6000</v>
      </c>
      <c r="F375" s="1">
        <v>0</v>
      </c>
      <c r="G375" s="4">
        <v>46110</v>
      </c>
      <c r="H375" s="4"/>
      <c r="I375" s="4"/>
      <c r="J375" s="4"/>
      <c r="K375" s="1" t="s">
        <v>69</v>
      </c>
      <c r="L375" s="1" t="str">
        <f t="shared" si="5"/>
        <v>Online</v>
      </c>
      <c r="M375" s="1"/>
      <c r="N375" s="1"/>
      <c r="O375" s="1"/>
      <c r="P375" s="1"/>
      <c r="Q375" s="1"/>
      <c r="R375" s="1"/>
      <c r="S375" s="1"/>
    </row>
    <row r="376" spans="1:19" ht="23" customHeight="1">
      <c r="A376" s="1" t="s">
        <v>433</v>
      </c>
      <c r="B376" s="4">
        <v>46048</v>
      </c>
      <c r="C376" s="1" t="s">
        <v>18</v>
      </c>
      <c r="D376" s="1" t="s">
        <v>65</v>
      </c>
      <c r="E376" s="5">
        <v>30000</v>
      </c>
      <c r="F376" s="1">
        <v>0</v>
      </c>
      <c r="G376" s="4">
        <v>46050</v>
      </c>
      <c r="H376" s="4">
        <v>46054</v>
      </c>
      <c r="I376" s="4">
        <v>46056</v>
      </c>
      <c r="J376" s="4"/>
      <c r="K376" s="1" t="s">
        <v>55</v>
      </c>
      <c r="L376" s="1" t="str">
        <f t="shared" si="5"/>
        <v>Branch</v>
      </c>
      <c r="M376" s="1"/>
      <c r="N376" s="1"/>
      <c r="O376" s="1"/>
      <c r="P376" s="1"/>
      <c r="Q376" s="1"/>
      <c r="R376" s="1"/>
      <c r="S376" s="1"/>
    </row>
    <row r="377" spans="1:19" ht="23" customHeight="1">
      <c r="A377" s="1" t="s">
        <v>434</v>
      </c>
      <c r="B377" s="4">
        <v>46052</v>
      </c>
      <c r="C377" s="1" t="s">
        <v>19</v>
      </c>
      <c r="D377" s="1" t="s">
        <v>54</v>
      </c>
      <c r="E377" s="5">
        <v>27000</v>
      </c>
      <c r="F377" s="1">
        <v>0</v>
      </c>
      <c r="G377" s="4">
        <v>46052</v>
      </c>
      <c r="H377" s="4">
        <v>46054</v>
      </c>
      <c r="I377" s="4">
        <v>46055</v>
      </c>
      <c r="J377" s="4"/>
      <c r="K377" s="1" t="s">
        <v>55</v>
      </c>
      <c r="L377" s="1" t="str">
        <f t="shared" si="5"/>
        <v>Online</v>
      </c>
      <c r="M377" s="1"/>
      <c r="N377" s="1"/>
      <c r="O377" s="1"/>
      <c r="P377" s="1"/>
      <c r="Q377" s="1"/>
      <c r="R377" s="1"/>
      <c r="S377" s="1"/>
    </row>
    <row r="378" spans="1:19" ht="23" customHeight="1">
      <c r="A378" s="1" t="s">
        <v>435</v>
      </c>
      <c r="B378" s="4">
        <v>46036</v>
      </c>
      <c r="C378" s="1" t="s">
        <v>18</v>
      </c>
      <c r="D378" s="1" t="s">
        <v>65</v>
      </c>
      <c r="E378" s="5">
        <v>44000</v>
      </c>
      <c r="F378" s="1">
        <v>1</v>
      </c>
      <c r="G378" s="4">
        <v>46044</v>
      </c>
      <c r="H378" s="4">
        <v>46047</v>
      </c>
      <c r="I378" s="4">
        <v>46049</v>
      </c>
      <c r="J378" s="4"/>
      <c r="K378" s="1" t="s">
        <v>55</v>
      </c>
      <c r="L378" s="1" t="str">
        <f t="shared" si="5"/>
        <v>Branch</v>
      </c>
      <c r="M378" s="1"/>
      <c r="N378" s="1"/>
      <c r="O378" s="1"/>
      <c r="P378" s="1"/>
      <c r="Q378" s="1"/>
      <c r="R378" s="1"/>
      <c r="S378" s="1"/>
    </row>
    <row r="379" spans="1:19" ht="23" customHeight="1">
      <c r="A379" s="1" t="s">
        <v>436</v>
      </c>
      <c r="B379" s="4">
        <v>46067</v>
      </c>
      <c r="C379" s="1" t="s">
        <v>19</v>
      </c>
      <c r="D379" s="1" t="s">
        <v>54</v>
      </c>
      <c r="E379" s="5">
        <v>20000</v>
      </c>
      <c r="F379" s="1">
        <v>0</v>
      </c>
      <c r="G379" s="4">
        <v>46068</v>
      </c>
      <c r="H379" s="4">
        <v>46070</v>
      </c>
      <c r="I379" s="4">
        <v>46071</v>
      </c>
      <c r="J379" s="4"/>
      <c r="K379" s="1" t="s">
        <v>55</v>
      </c>
      <c r="L379" s="1" t="str">
        <f t="shared" si="5"/>
        <v>Online</v>
      </c>
      <c r="M379" s="1"/>
      <c r="N379" s="1"/>
      <c r="O379" s="1"/>
      <c r="P379" s="1"/>
      <c r="Q379" s="1"/>
      <c r="R379" s="1"/>
      <c r="S379" s="1"/>
    </row>
    <row r="380" spans="1:19" ht="23" customHeight="1">
      <c r="A380" s="1" t="s">
        <v>437</v>
      </c>
      <c r="B380" s="4">
        <v>46034</v>
      </c>
      <c r="C380" s="1" t="s">
        <v>19</v>
      </c>
      <c r="D380" s="1" t="s">
        <v>54</v>
      </c>
      <c r="E380" s="5">
        <v>38000</v>
      </c>
      <c r="F380" s="1">
        <v>0</v>
      </c>
      <c r="G380" s="4">
        <v>46035</v>
      </c>
      <c r="H380" s="4">
        <v>46039</v>
      </c>
      <c r="I380" s="4">
        <v>46042</v>
      </c>
      <c r="J380" s="4"/>
      <c r="K380" s="1" t="s">
        <v>63</v>
      </c>
      <c r="L380" s="1" t="str">
        <f t="shared" si="5"/>
        <v>Online</v>
      </c>
      <c r="M380" s="1"/>
      <c r="N380" s="1"/>
      <c r="O380" s="1"/>
      <c r="P380" s="1"/>
      <c r="Q380" s="1"/>
      <c r="R380" s="1"/>
      <c r="S380" s="1"/>
    </row>
    <row r="381" spans="1:19" ht="23" customHeight="1">
      <c r="A381" s="1" t="s">
        <v>438</v>
      </c>
      <c r="B381" s="4">
        <v>46112</v>
      </c>
      <c r="C381" s="1" t="s">
        <v>19</v>
      </c>
      <c r="D381" s="1" t="s">
        <v>54</v>
      </c>
      <c r="E381" s="5">
        <v>22000</v>
      </c>
      <c r="F381" s="1">
        <v>0</v>
      </c>
      <c r="G381" s="4">
        <v>46112</v>
      </c>
      <c r="H381" s="4"/>
      <c r="I381" s="4"/>
      <c r="J381" s="4"/>
      <c r="K381" s="1" t="s">
        <v>69</v>
      </c>
      <c r="L381" s="1" t="str">
        <f t="shared" si="5"/>
        <v>Online</v>
      </c>
      <c r="M381" s="1"/>
      <c r="N381" s="1"/>
      <c r="O381" s="1"/>
      <c r="P381" s="1"/>
      <c r="Q381" s="1"/>
      <c r="R381" s="1"/>
      <c r="S381" s="1"/>
    </row>
    <row r="382" spans="1:19" ht="23" customHeight="1">
      <c r="A382" s="1" t="s">
        <v>439</v>
      </c>
      <c r="B382" s="4">
        <v>46045</v>
      </c>
      <c r="C382" s="1" t="s">
        <v>19</v>
      </c>
      <c r="D382" s="1" t="s">
        <v>54</v>
      </c>
      <c r="E382" s="5">
        <v>33000</v>
      </c>
      <c r="F382" s="1">
        <v>0</v>
      </c>
      <c r="G382" s="4">
        <v>46046</v>
      </c>
      <c r="H382" s="4">
        <v>46048</v>
      </c>
      <c r="I382" s="4">
        <v>46051</v>
      </c>
      <c r="J382" s="4"/>
      <c r="K382" s="1" t="s">
        <v>55</v>
      </c>
      <c r="L382" s="1" t="str">
        <f t="shared" si="5"/>
        <v>Online</v>
      </c>
      <c r="M382" s="1"/>
      <c r="N382" s="1"/>
      <c r="O382" s="1"/>
      <c r="P382" s="1"/>
      <c r="Q382" s="1"/>
      <c r="R382" s="1"/>
      <c r="S382" s="1"/>
    </row>
    <row r="383" spans="1:19" ht="23" customHeight="1">
      <c r="A383" s="1" t="s">
        <v>440</v>
      </c>
      <c r="B383" s="4">
        <v>46067</v>
      </c>
      <c r="C383" s="1" t="s">
        <v>18</v>
      </c>
      <c r="D383" s="1" t="s">
        <v>65</v>
      </c>
      <c r="E383" s="5">
        <v>50000</v>
      </c>
      <c r="F383" s="1">
        <v>1</v>
      </c>
      <c r="G383" s="4">
        <v>46077</v>
      </c>
      <c r="H383" s="4">
        <v>46079</v>
      </c>
      <c r="I383" s="4">
        <v>46081</v>
      </c>
      <c r="J383" s="4"/>
      <c r="K383" s="1" t="s">
        <v>63</v>
      </c>
      <c r="L383" s="1" t="str">
        <f t="shared" si="5"/>
        <v>Branch</v>
      </c>
      <c r="M383" s="1"/>
      <c r="N383" s="1"/>
      <c r="O383" s="1"/>
      <c r="P383" s="1"/>
      <c r="Q383" s="1"/>
      <c r="R383" s="1"/>
      <c r="S383" s="1"/>
    </row>
    <row r="384" spans="1:19" ht="23" customHeight="1">
      <c r="A384" s="1" t="s">
        <v>441</v>
      </c>
      <c r="B384" s="4">
        <v>46073</v>
      </c>
      <c r="C384" s="1" t="s">
        <v>18</v>
      </c>
      <c r="D384" s="1" t="s">
        <v>65</v>
      </c>
      <c r="E384" s="5">
        <v>36000</v>
      </c>
      <c r="F384" s="1">
        <v>0</v>
      </c>
      <c r="G384" s="4">
        <v>46073</v>
      </c>
      <c r="H384" s="4">
        <v>46076</v>
      </c>
      <c r="I384" s="4">
        <v>46078</v>
      </c>
      <c r="J384" s="4"/>
      <c r="K384" s="1" t="s">
        <v>63</v>
      </c>
      <c r="L384" s="1" t="str">
        <f t="shared" si="5"/>
        <v>Branch</v>
      </c>
      <c r="M384" s="1"/>
      <c r="N384" s="1"/>
      <c r="O384" s="1"/>
      <c r="P384" s="1"/>
      <c r="Q384" s="1"/>
      <c r="R384" s="1"/>
      <c r="S384" s="1"/>
    </row>
    <row r="385" spans="1:19" ht="23" customHeight="1">
      <c r="A385" s="1" t="s">
        <v>442</v>
      </c>
      <c r="B385" s="4">
        <v>46111</v>
      </c>
      <c r="C385" s="1" t="s">
        <v>19</v>
      </c>
      <c r="D385" s="1" t="s">
        <v>54</v>
      </c>
      <c r="E385" s="5">
        <v>24000</v>
      </c>
      <c r="F385" s="1">
        <v>0</v>
      </c>
      <c r="G385" s="4"/>
      <c r="H385" s="4"/>
      <c r="I385" s="4"/>
      <c r="J385" s="4"/>
      <c r="K385" s="1" t="s">
        <v>69</v>
      </c>
      <c r="L385" s="1" t="str">
        <f t="shared" si="5"/>
        <v>Online</v>
      </c>
      <c r="M385" s="1"/>
      <c r="N385" s="1"/>
      <c r="O385" s="1"/>
      <c r="P385" s="1"/>
      <c r="Q385" s="1"/>
      <c r="R385" s="1"/>
      <c r="S385" s="1"/>
    </row>
    <row r="386" spans="1:19" ht="23" customHeight="1">
      <c r="A386" s="1" t="s">
        <v>443</v>
      </c>
      <c r="B386" s="4">
        <v>46035</v>
      </c>
      <c r="C386" s="1" t="s">
        <v>18</v>
      </c>
      <c r="D386" s="1" t="s">
        <v>59</v>
      </c>
      <c r="E386" s="5">
        <v>29000</v>
      </c>
      <c r="F386" s="1">
        <v>0</v>
      </c>
      <c r="G386" s="4">
        <v>46035</v>
      </c>
      <c r="H386" s="4">
        <v>46041</v>
      </c>
      <c r="I386" s="4">
        <v>46043</v>
      </c>
      <c r="J386" s="4"/>
      <c r="K386" s="1" t="s">
        <v>63</v>
      </c>
      <c r="L386" s="1" t="str">
        <f t="shared" si="5"/>
        <v>Branch</v>
      </c>
      <c r="M386" s="1"/>
      <c r="N386" s="1"/>
      <c r="O386" s="1"/>
      <c r="P386" s="1"/>
      <c r="Q386" s="1"/>
      <c r="R386" s="1"/>
      <c r="S386" s="1"/>
    </row>
    <row r="387" spans="1:19" ht="23" customHeight="1">
      <c r="A387" s="1" t="s">
        <v>444</v>
      </c>
      <c r="B387" s="4">
        <v>46084</v>
      </c>
      <c r="C387" s="1" t="s">
        <v>18</v>
      </c>
      <c r="D387" s="1" t="s">
        <v>59</v>
      </c>
      <c r="E387" s="5">
        <v>7000</v>
      </c>
      <c r="F387" s="1">
        <v>1</v>
      </c>
      <c r="G387" s="4">
        <v>46087</v>
      </c>
      <c r="H387" s="4">
        <v>46092</v>
      </c>
      <c r="I387" s="4">
        <v>46093</v>
      </c>
      <c r="J387" s="4"/>
      <c r="K387" s="1" t="s">
        <v>55</v>
      </c>
      <c r="L387" s="1" t="str">
        <f t="shared" si="5"/>
        <v>Branch</v>
      </c>
      <c r="M387" s="1"/>
      <c r="N387" s="1"/>
      <c r="O387" s="1"/>
      <c r="P387" s="1"/>
      <c r="Q387" s="1"/>
      <c r="R387" s="1"/>
      <c r="S387" s="1"/>
    </row>
    <row r="388" spans="1:19" ht="23" customHeight="1">
      <c r="A388" s="1" t="s">
        <v>445</v>
      </c>
      <c r="B388" s="4">
        <v>46087</v>
      </c>
      <c r="C388" s="1" t="s">
        <v>18</v>
      </c>
      <c r="D388" s="1" t="s">
        <v>65</v>
      </c>
      <c r="E388" s="5">
        <v>28000</v>
      </c>
      <c r="F388" s="1">
        <v>1</v>
      </c>
      <c r="G388" s="4">
        <v>46095</v>
      </c>
      <c r="H388" s="4">
        <v>46101</v>
      </c>
      <c r="I388" s="4">
        <v>46104</v>
      </c>
      <c r="J388" s="4"/>
      <c r="K388" s="1" t="s">
        <v>63</v>
      </c>
      <c r="L388" s="1" t="str">
        <f t="shared" si="5"/>
        <v>Branch</v>
      </c>
      <c r="M388" s="1"/>
      <c r="N388" s="1"/>
      <c r="O388" s="1"/>
      <c r="P388" s="1"/>
      <c r="Q388" s="1"/>
      <c r="R388" s="1"/>
      <c r="S388" s="1"/>
    </row>
    <row r="389" spans="1:19" ht="23" customHeight="1">
      <c r="A389" s="1" t="s">
        <v>446</v>
      </c>
      <c r="B389" s="4">
        <v>46097</v>
      </c>
      <c r="C389" s="1" t="s">
        <v>18</v>
      </c>
      <c r="D389" s="1" t="s">
        <v>65</v>
      </c>
      <c r="E389" s="5">
        <v>16000</v>
      </c>
      <c r="F389" s="1">
        <v>1</v>
      </c>
      <c r="G389" s="4">
        <v>46103</v>
      </c>
      <c r="H389" s="4">
        <v>46109</v>
      </c>
      <c r="I389" s="4">
        <v>46110</v>
      </c>
      <c r="J389" s="4"/>
      <c r="K389" s="1" t="s">
        <v>63</v>
      </c>
      <c r="L389" s="1" t="str">
        <f t="shared" ref="L389:L452" si="6">PROPER(TRIM(C389))</f>
        <v>Branch</v>
      </c>
      <c r="M389" s="1"/>
      <c r="N389" s="1"/>
      <c r="O389" s="1"/>
      <c r="P389" s="1"/>
      <c r="Q389" s="1"/>
      <c r="R389" s="1"/>
      <c r="S389" s="1"/>
    </row>
    <row r="390" spans="1:19" ht="23" customHeight="1">
      <c r="A390" s="1" t="s">
        <v>447</v>
      </c>
      <c r="B390" s="4">
        <v>46091</v>
      </c>
      <c r="C390" s="1" t="s">
        <v>19</v>
      </c>
      <c r="D390" s="1" t="s">
        <v>54</v>
      </c>
      <c r="E390" s="5">
        <v>44000</v>
      </c>
      <c r="F390" s="1">
        <v>1</v>
      </c>
      <c r="G390" s="4"/>
      <c r="H390" s="4"/>
      <c r="I390" s="4"/>
      <c r="J390" s="4">
        <v>46094</v>
      </c>
      <c r="K390" s="1" t="s">
        <v>86</v>
      </c>
      <c r="L390" s="1" t="str">
        <f t="shared" si="6"/>
        <v>Online</v>
      </c>
      <c r="M390" s="1"/>
      <c r="N390" s="1"/>
      <c r="O390" s="1"/>
      <c r="P390" s="1"/>
      <c r="Q390" s="1"/>
      <c r="R390" s="1"/>
      <c r="S390" s="1"/>
    </row>
    <row r="391" spans="1:19" ht="23" customHeight="1">
      <c r="A391" s="1" t="s">
        <v>448</v>
      </c>
      <c r="B391" s="4">
        <v>46081</v>
      </c>
      <c r="C391" s="1" t="s">
        <v>18</v>
      </c>
      <c r="D391" s="1" t="s">
        <v>59</v>
      </c>
      <c r="E391" s="5">
        <v>39000</v>
      </c>
      <c r="F391" s="1">
        <v>0</v>
      </c>
      <c r="G391" s="4">
        <v>46082</v>
      </c>
      <c r="H391" s="4">
        <v>46084</v>
      </c>
      <c r="I391" s="4">
        <v>46086</v>
      </c>
      <c r="J391" s="4"/>
      <c r="K391" s="1" t="s">
        <v>55</v>
      </c>
      <c r="L391" s="1" t="str">
        <f t="shared" si="6"/>
        <v>Branch</v>
      </c>
      <c r="M391" s="1"/>
      <c r="N391" s="1"/>
      <c r="O391" s="1"/>
      <c r="P391" s="1"/>
      <c r="Q391" s="1"/>
      <c r="R391" s="1"/>
      <c r="S391" s="1"/>
    </row>
    <row r="392" spans="1:19" ht="23" customHeight="1">
      <c r="A392" s="1" t="s">
        <v>449</v>
      </c>
      <c r="B392" s="4">
        <v>46095</v>
      </c>
      <c r="C392" s="1" t="s">
        <v>18</v>
      </c>
      <c r="D392" s="1" t="s">
        <v>62</v>
      </c>
      <c r="E392" s="5">
        <v>14000</v>
      </c>
      <c r="F392" s="1">
        <v>0</v>
      </c>
      <c r="G392" s="4">
        <v>46096</v>
      </c>
      <c r="H392" s="4">
        <v>46099</v>
      </c>
      <c r="I392" s="4">
        <v>46102</v>
      </c>
      <c r="J392" s="4"/>
      <c r="K392" s="1" t="s">
        <v>55</v>
      </c>
      <c r="L392" s="1" t="str">
        <f t="shared" si="6"/>
        <v>Branch</v>
      </c>
      <c r="M392" s="1"/>
      <c r="N392" s="1"/>
      <c r="O392" s="1"/>
      <c r="P392" s="1"/>
      <c r="Q392" s="1"/>
      <c r="R392" s="1"/>
      <c r="S392" s="1"/>
    </row>
    <row r="393" spans="1:19" ht="23" customHeight="1">
      <c r="A393" s="1" t="s">
        <v>450</v>
      </c>
      <c r="B393" s="4">
        <v>46048</v>
      </c>
      <c r="C393" s="1" t="s">
        <v>18</v>
      </c>
      <c r="D393" s="1" t="s">
        <v>65</v>
      </c>
      <c r="E393" s="5">
        <v>49000</v>
      </c>
      <c r="F393" s="1">
        <v>1</v>
      </c>
      <c r="G393" s="4">
        <v>46055</v>
      </c>
      <c r="H393" s="4">
        <v>46057</v>
      </c>
      <c r="I393" s="4">
        <v>46059</v>
      </c>
      <c r="J393" s="4"/>
      <c r="K393" s="1" t="s">
        <v>63</v>
      </c>
      <c r="L393" s="1" t="str">
        <f t="shared" si="6"/>
        <v>Branch</v>
      </c>
      <c r="M393" s="1"/>
      <c r="N393" s="1"/>
      <c r="O393" s="1"/>
      <c r="P393" s="1"/>
      <c r="Q393" s="1"/>
      <c r="R393" s="1"/>
      <c r="S393" s="1"/>
    </row>
    <row r="394" spans="1:19" ht="23" customHeight="1">
      <c r="A394" s="1" t="s">
        <v>451</v>
      </c>
      <c r="B394" s="4">
        <v>46042</v>
      </c>
      <c r="C394" s="1" t="s">
        <v>18</v>
      </c>
      <c r="D394" s="1" t="s">
        <v>62</v>
      </c>
      <c r="E394" s="5">
        <v>36000</v>
      </c>
      <c r="F394" s="1">
        <v>0</v>
      </c>
      <c r="G394" s="4">
        <v>46042</v>
      </c>
      <c r="H394" s="4">
        <v>46049</v>
      </c>
      <c r="I394" s="4">
        <v>46052</v>
      </c>
      <c r="J394" s="4"/>
      <c r="K394" s="1" t="s">
        <v>55</v>
      </c>
      <c r="L394" s="1" t="str">
        <f t="shared" si="6"/>
        <v>Branch</v>
      </c>
      <c r="M394" s="1"/>
      <c r="N394" s="1"/>
      <c r="O394" s="1"/>
      <c r="P394" s="1"/>
      <c r="Q394" s="1"/>
      <c r="R394" s="1"/>
      <c r="S394" s="1"/>
    </row>
    <row r="395" spans="1:19" ht="23" customHeight="1">
      <c r="A395" s="1" t="s">
        <v>452</v>
      </c>
      <c r="B395" s="4">
        <v>46101</v>
      </c>
      <c r="C395" s="1" t="s">
        <v>19</v>
      </c>
      <c r="D395" s="1" t="s">
        <v>54</v>
      </c>
      <c r="E395" s="5">
        <v>8000</v>
      </c>
      <c r="F395" s="1">
        <v>0</v>
      </c>
      <c r="G395" s="4">
        <v>46103</v>
      </c>
      <c r="H395" s="4">
        <v>46107</v>
      </c>
      <c r="I395" s="4">
        <v>46109</v>
      </c>
      <c r="J395" s="4"/>
      <c r="K395" s="1" t="s">
        <v>55</v>
      </c>
      <c r="L395" s="1" t="str">
        <f t="shared" si="6"/>
        <v>Online</v>
      </c>
      <c r="M395" s="1"/>
      <c r="N395" s="1"/>
      <c r="O395" s="1"/>
      <c r="P395" s="1"/>
      <c r="Q395" s="1"/>
      <c r="R395" s="1"/>
      <c r="S395" s="1"/>
    </row>
    <row r="396" spans="1:19" ht="23" customHeight="1">
      <c r="A396" s="1" t="s">
        <v>453</v>
      </c>
      <c r="B396" s="4">
        <v>46051</v>
      </c>
      <c r="C396" s="1" t="s">
        <v>18</v>
      </c>
      <c r="D396" s="1" t="s">
        <v>65</v>
      </c>
      <c r="E396" s="5">
        <v>31000</v>
      </c>
      <c r="F396" s="1">
        <v>1</v>
      </c>
      <c r="G396" s="4">
        <v>46059</v>
      </c>
      <c r="H396" s="4">
        <v>46061</v>
      </c>
      <c r="I396" s="4">
        <v>46063</v>
      </c>
      <c r="J396" s="4"/>
      <c r="K396" s="1" t="s">
        <v>55</v>
      </c>
      <c r="L396" s="1" t="str">
        <f t="shared" si="6"/>
        <v>Branch</v>
      </c>
      <c r="M396" s="1"/>
      <c r="N396" s="1"/>
      <c r="O396" s="1"/>
      <c r="P396" s="1"/>
      <c r="Q396" s="1"/>
      <c r="R396" s="1"/>
      <c r="S396" s="1"/>
    </row>
    <row r="397" spans="1:19" ht="23" customHeight="1">
      <c r="A397" s="1" t="s">
        <v>454</v>
      </c>
      <c r="B397" s="4">
        <v>46056</v>
      </c>
      <c r="C397" s="1" t="s">
        <v>18</v>
      </c>
      <c r="D397" s="1" t="s">
        <v>59</v>
      </c>
      <c r="E397" s="5">
        <v>38000</v>
      </c>
      <c r="F397" s="1">
        <v>1</v>
      </c>
      <c r="G397" s="4"/>
      <c r="H397" s="4"/>
      <c r="I397" s="4"/>
      <c r="J397" s="4">
        <v>46059</v>
      </c>
      <c r="K397" s="1" t="s">
        <v>86</v>
      </c>
      <c r="L397" s="1" t="str">
        <f t="shared" si="6"/>
        <v>Branch</v>
      </c>
      <c r="M397" s="1"/>
      <c r="N397" s="1"/>
      <c r="O397" s="1"/>
      <c r="P397" s="1"/>
      <c r="Q397" s="1"/>
      <c r="R397" s="1"/>
      <c r="S397" s="1"/>
    </row>
    <row r="398" spans="1:19" ht="23" customHeight="1">
      <c r="A398" s="1" t="s">
        <v>455</v>
      </c>
      <c r="B398" s="4">
        <v>46072</v>
      </c>
      <c r="C398" s="1" t="s">
        <v>18</v>
      </c>
      <c r="D398" s="1" t="s">
        <v>59</v>
      </c>
      <c r="E398" s="5">
        <v>40000</v>
      </c>
      <c r="F398" s="1">
        <v>0</v>
      </c>
      <c r="G398" s="4">
        <v>46072</v>
      </c>
      <c r="H398" s="4">
        <v>46078</v>
      </c>
      <c r="I398" s="4">
        <v>46080</v>
      </c>
      <c r="J398" s="4"/>
      <c r="K398" s="1" t="s">
        <v>63</v>
      </c>
      <c r="L398" s="1" t="str">
        <f t="shared" si="6"/>
        <v>Branch</v>
      </c>
      <c r="M398" s="1"/>
      <c r="N398" s="1"/>
      <c r="O398" s="1"/>
      <c r="P398" s="1"/>
      <c r="Q398" s="1"/>
      <c r="R398" s="1"/>
      <c r="S398" s="1"/>
    </row>
    <row r="399" spans="1:19" ht="23" customHeight="1">
      <c r="A399" s="1" t="s">
        <v>456</v>
      </c>
      <c r="B399" s="4">
        <v>46108</v>
      </c>
      <c r="C399" s="1" t="s">
        <v>18</v>
      </c>
      <c r="D399" s="1" t="s">
        <v>71</v>
      </c>
      <c r="E399" s="5">
        <v>36000</v>
      </c>
      <c r="F399" s="1">
        <v>1</v>
      </c>
      <c r="G399" s="4"/>
      <c r="H399" s="4"/>
      <c r="I399" s="4"/>
      <c r="J399" s="4"/>
      <c r="K399" s="1" t="s">
        <v>69</v>
      </c>
      <c r="L399" s="1" t="str">
        <f t="shared" si="6"/>
        <v>Branch</v>
      </c>
      <c r="M399" s="1"/>
      <c r="N399" s="1"/>
      <c r="O399" s="1"/>
      <c r="P399" s="1"/>
      <c r="Q399" s="1"/>
      <c r="R399" s="1"/>
      <c r="S399" s="1"/>
    </row>
    <row r="400" spans="1:19" ht="23" customHeight="1">
      <c r="A400" s="1" t="s">
        <v>457</v>
      </c>
      <c r="B400" s="4">
        <v>46041</v>
      </c>
      <c r="C400" s="1" t="s">
        <v>18</v>
      </c>
      <c r="D400" s="1" t="s">
        <v>62</v>
      </c>
      <c r="E400" s="5">
        <v>27000</v>
      </c>
      <c r="F400" s="1">
        <v>1</v>
      </c>
      <c r="G400" s="4"/>
      <c r="H400" s="4"/>
      <c r="I400" s="4"/>
      <c r="J400" s="4">
        <v>46044</v>
      </c>
      <c r="K400" s="1" t="s">
        <v>86</v>
      </c>
      <c r="L400" s="1" t="str">
        <f t="shared" si="6"/>
        <v>Branch</v>
      </c>
      <c r="M400" s="1"/>
      <c r="N400" s="1"/>
      <c r="O400" s="1"/>
      <c r="P400" s="1"/>
      <c r="Q400" s="1"/>
      <c r="R400" s="1"/>
      <c r="S400" s="1"/>
    </row>
    <row r="401" spans="1:19" ht="23" customHeight="1">
      <c r="A401" s="1" t="s">
        <v>458</v>
      </c>
      <c r="B401" s="4">
        <v>46042</v>
      </c>
      <c r="C401" s="1" t="s">
        <v>19</v>
      </c>
      <c r="D401" s="1" t="s">
        <v>54</v>
      </c>
      <c r="E401" s="5">
        <v>29000</v>
      </c>
      <c r="F401" s="1">
        <v>0</v>
      </c>
      <c r="G401" s="4">
        <v>46042</v>
      </c>
      <c r="H401" s="4">
        <v>46048</v>
      </c>
      <c r="I401" s="4">
        <v>46051</v>
      </c>
      <c r="J401" s="4"/>
      <c r="K401" s="1" t="s">
        <v>55</v>
      </c>
      <c r="L401" s="1" t="str">
        <f t="shared" si="6"/>
        <v>Online</v>
      </c>
      <c r="M401" s="1"/>
      <c r="N401" s="1"/>
      <c r="O401" s="1"/>
      <c r="P401" s="1"/>
      <c r="Q401" s="1"/>
      <c r="R401" s="1"/>
      <c r="S401" s="1"/>
    </row>
    <row r="402" spans="1:19" ht="23" customHeight="1">
      <c r="A402" s="1" t="s">
        <v>459</v>
      </c>
      <c r="B402" s="4">
        <v>46100</v>
      </c>
      <c r="C402" s="1" t="s">
        <v>19</v>
      </c>
      <c r="D402" s="1" t="s">
        <v>54</v>
      </c>
      <c r="E402" s="5">
        <v>19000</v>
      </c>
      <c r="F402" s="1">
        <v>0</v>
      </c>
      <c r="G402" s="4">
        <v>46100</v>
      </c>
      <c r="H402" s="4">
        <v>46103</v>
      </c>
      <c r="I402" s="4">
        <v>46105</v>
      </c>
      <c r="J402" s="4"/>
      <c r="K402" s="1" t="s">
        <v>55</v>
      </c>
      <c r="L402" s="1" t="str">
        <f t="shared" si="6"/>
        <v>Online</v>
      </c>
      <c r="M402" s="1"/>
      <c r="N402" s="1"/>
      <c r="O402" s="1"/>
      <c r="P402" s="1"/>
      <c r="Q402" s="1"/>
      <c r="R402" s="1"/>
      <c r="S402" s="1"/>
    </row>
    <row r="403" spans="1:19" ht="23" customHeight="1">
      <c r="A403" s="1" t="s">
        <v>460</v>
      </c>
      <c r="B403" s="4">
        <v>46087</v>
      </c>
      <c r="C403" s="1" t="s">
        <v>18</v>
      </c>
      <c r="D403" s="1" t="s">
        <v>71</v>
      </c>
      <c r="E403" s="5">
        <v>46000</v>
      </c>
      <c r="F403" s="1">
        <v>0</v>
      </c>
      <c r="G403" s="4">
        <v>46088</v>
      </c>
      <c r="H403" s="4">
        <v>46093</v>
      </c>
      <c r="I403" s="4">
        <v>46095</v>
      </c>
      <c r="J403" s="4"/>
      <c r="K403" s="1" t="s">
        <v>55</v>
      </c>
      <c r="L403" s="1" t="str">
        <f t="shared" si="6"/>
        <v>Branch</v>
      </c>
      <c r="M403" s="1"/>
      <c r="N403" s="1"/>
      <c r="O403" s="1"/>
      <c r="P403" s="1"/>
      <c r="Q403" s="1"/>
      <c r="R403" s="1"/>
      <c r="S403" s="1"/>
    </row>
    <row r="404" spans="1:19" ht="23" customHeight="1">
      <c r="A404" s="1" t="s">
        <v>461</v>
      </c>
      <c r="B404" s="4">
        <v>46107</v>
      </c>
      <c r="C404" s="1" t="s">
        <v>18</v>
      </c>
      <c r="D404" s="1" t="s">
        <v>59</v>
      </c>
      <c r="E404" s="5">
        <v>27000</v>
      </c>
      <c r="F404" s="1">
        <v>1</v>
      </c>
      <c r="G404" s="4"/>
      <c r="H404" s="4"/>
      <c r="I404" s="4"/>
      <c r="J404" s="4"/>
      <c r="K404" s="1" t="s">
        <v>69</v>
      </c>
      <c r="L404" s="1" t="str">
        <f t="shared" si="6"/>
        <v>Branch</v>
      </c>
      <c r="M404" s="1"/>
      <c r="N404" s="1"/>
      <c r="O404" s="1"/>
      <c r="P404" s="1"/>
      <c r="Q404" s="1"/>
      <c r="R404" s="1"/>
      <c r="S404" s="1"/>
    </row>
    <row r="405" spans="1:19" ht="23" customHeight="1">
      <c r="A405" s="1" t="s">
        <v>462</v>
      </c>
      <c r="B405" s="4">
        <v>46078</v>
      </c>
      <c r="C405" s="1" t="s">
        <v>18</v>
      </c>
      <c r="D405" s="1" t="s">
        <v>62</v>
      </c>
      <c r="E405" s="5">
        <v>21000</v>
      </c>
      <c r="F405" s="1">
        <v>1</v>
      </c>
      <c r="G405" s="4">
        <v>46087</v>
      </c>
      <c r="H405" s="4">
        <v>46095</v>
      </c>
      <c r="I405" s="4">
        <v>46098</v>
      </c>
      <c r="J405" s="4"/>
      <c r="K405" s="1" t="s">
        <v>55</v>
      </c>
      <c r="L405" s="1" t="str">
        <f t="shared" si="6"/>
        <v>Branch</v>
      </c>
      <c r="M405" s="1"/>
      <c r="N405" s="1"/>
      <c r="O405" s="1"/>
      <c r="P405" s="1"/>
      <c r="Q405" s="1"/>
      <c r="R405" s="1"/>
      <c r="S405" s="1"/>
    </row>
    <row r="406" spans="1:19" ht="23" customHeight="1">
      <c r="A406" s="1" t="s">
        <v>463</v>
      </c>
      <c r="B406" s="4">
        <v>46079</v>
      </c>
      <c r="C406" s="1" t="s">
        <v>19</v>
      </c>
      <c r="D406" s="1" t="s">
        <v>54</v>
      </c>
      <c r="E406" s="5">
        <v>14000</v>
      </c>
      <c r="F406" s="1">
        <v>0</v>
      </c>
      <c r="G406" s="4">
        <v>46081</v>
      </c>
      <c r="H406" s="4">
        <v>46086</v>
      </c>
      <c r="I406" s="4">
        <v>46087</v>
      </c>
      <c r="J406" s="4"/>
      <c r="K406" s="1" t="s">
        <v>55</v>
      </c>
      <c r="L406" s="1" t="str">
        <f t="shared" si="6"/>
        <v>Online</v>
      </c>
      <c r="M406" s="1"/>
      <c r="N406" s="1"/>
      <c r="O406" s="1"/>
      <c r="P406" s="1"/>
      <c r="Q406" s="1"/>
      <c r="R406" s="1"/>
      <c r="S406" s="1"/>
    </row>
    <row r="407" spans="1:19" ht="23" customHeight="1">
      <c r="A407" s="1" t="s">
        <v>464</v>
      </c>
      <c r="B407" s="4">
        <v>46110</v>
      </c>
      <c r="C407" s="1" t="s">
        <v>19</v>
      </c>
      <c r="D407" s="1" t="s">
        <v>54</v>
      </c>
      <c r="E407" s="5">
        <v>13000</v>
      </c>
      <c r="F407" s="1">
        <v>0</v>
      </c>
      <c r="G407" s="4">
        <v>46112</v>
      </c>
      <c r="H407" s="4"/>
      <c r="I407" s="4"/>
      <c r="J407" s="4"/>
      <c r="K407" s="1" t="s">
        <v>69</v>
      </c>
      <c r="L407" s="1" t="str">
        <f t="shared" si="6"/>
        <v>Online</v>
      </c>
      <c r="M407" s="1"/>
      <c r="N407" s="1"/>
      <c r="O407" s="1"/>
      <c r="P407" s="1"/>
      <c r="Q407" s="1"/>
      <c r="R407" s="1"/>
      <c r="S407" s="1"/>
    </row>
    <row r="408" spans="1:19" ht="23" customHeight="1">
      <c r="A408" s="1" t="s">
        <v>465</v>
      </c>
      <c r="B408" s="4">
        <v>46023</v>
      </c>
      <c r="C408" s="1" t="s">
        <v>19</v>
      </c>
      <c r="D408" s="1" t="s">
        <v>54</v>
      </c>
      <c r="E408" s="5">
        <v>25000</v>
      </c>
      <c r="F408" s="1">
        <v>0</v>
      </c>
      <c r="G408" s="4">
        <v>46024</v>
      </c>
      <c r="H408" s="4">
        <v>46026</v>
      </c>
      <c r="I408" s="4">
        <v>46029</v>
      </c>
      <c r="J408" s="4"/>
      <c r="K408" s="1" t="s">
        <v>55</v>
      </c>
      <c r="L408" s="1" t="str">
        <f t="shared" si="6"/>
        <v>Online</v>
      </c>
      <c r="M408" s="1"/>
      <c r="N408" s="1"/>
      <c r="O408" s="1"/>
      <c r="P408" s="1"/>
      <c r="Q408" s="1"/>
      <c r="R408" s="1"/>
      <c r="S408" s="1"/>
    </row>
    <row r="409" spans="1:19" ht="23" customHeight="1">
      <c r="A409" s="1" t="s">
        <v>466</v>
      </c>
      <c r="B409" s="4">
        <v>46097</v>
      </c>
      <c r="C409" s="1" t="s">
        <v>18</v>
      </c>
      <c r="D409" s="1" t="s">
        <v>62</v>
      </c>
      <c r="E409" s="5">
        <v>40000</v>
      </c>
      <c r="F409" s="1">
        <v>0</v>
      </c>
      <c r="G409" s="4">
        <v>46099</v>
      </c>
      <c r="H409" s="4">
        <v>46106</v>
      </c>
      <c r="I409" s="4">
        <v>46109</v>
      </c>
      <c r="J409" s="4"/>
      <c r="K409" s="1" t="s">
        <v>55</v>
      </c>
      <c r="L409" s="1" t="str">
        <f t="shared" si="6"/>
        <v>Branch</v>
      </c>
      <c r="M409" s="1"/>
      <c r="N409" s="1"/>
      <c r="O409" s="1"/>
      <c r="P409" s="1"/>
      <c r="Q409" s="1"/>
      <c r="R409" s="1"/>
      <c r="S409" s="1"/>
    </row>
    <row r="410" spans="1:19" ht="23" customHeight="1">
      <c r="A410" s="1" t="s">
        <v>467</v>
      </c>
      <c r="B410" s="4">
        <v>46104</v>
      </c>
      <c r="C410" s="1" t="s">
        <v>18</v>
      </c>
      <c r="D410" s="1" t="s">
        <v>62</v>
      </c>
      <c r="E410" s="5">
        <v>10000</v>
      </c>
      <c r="F410" s="1">
        <v>0</v>
      </c>
      <c r="G410" s="4">
        <v>46105</v>
      </c>
      <c r="H410" s="4">
        <v>46108</v>
      </c>
      <c r="I410" s="4">
        <v>46110</v>
      </c>
      <c r="J410" s="4"/>
      <c r="K410" s="1" t="s">
        <v>55</v>
      </c>
      <c r="L410" s="1" t="str">
        <f t="shared" si="6"/>
        <v>Branch</v>
      </c>
      <c r="M410" s="1"/>
      <c r="N410" s="1"/>
      <c r="O410" s="1"/>
      <c r="P410" s="1"/>
      <c r="Q410" s="1"/>
      <c r="R410" s="1"/>
      <c r="S410" s="1"/>
    </row>
    <row r="411" spans="1:19" ht="23" customHeight="1">
      <c r="A411" s="1" t="s">
        <v>468</v>
      </c>
      <c r="B411" s="4">
        <v>46062</v>
      </c>
      <c r="C411" s="1" t="s">
        <v>19</v>
      </c>
      <c r="D411" s="1" t="s">
        <v>54</v>
      </c>
      <c r="E411" s="5">
        <v>38000</v>
      </c>
      <c r="F411" s="1">
        <v>0</v>
      </c>
      <c r="G411" s="4">
        <v>46063</v>
      </c>
      <c r="H411" s="4">
        <v>46066</v>
      </c>
      <c r="I411" s="4">
        <v>46068</v>
      </c>
      <c r="J411" s="4"/>
      <c r="K411" s="1" t="s">
        <v>55</v>
      </c>
      <c r="L411" s="1" t="str">
        <f t="shared" si="6"/>
        <v>Online</v>
      </c>
      <c r="M411" s="1"/>
      <c r="N411" s="1"/>
      <c r="O411" s="1"/>
      <c r="P411" s="1"/>
      <c r="Q411" s="1"/>
      <c r="R411" s="1"/>
      <c r="S411" s="1"/>
    </row>
    <row r="412" spans="1:19" ht="23" customHeight="1">
      <c r="A412" s="1" t="s">
        <v>469</v>
      </c>
      <c r="B412" s="4">
        <v>46102</v>
      </c>
      <c r="C412" s="1" t="s">
        <v>18</v>
      </c>
      <c r="D412" s="1" t="s">
        <v>65</v>
      </c>
      <c r="E412" s="5">
        <v>19000</v>
      </c>
      <c r="F412" s="1">
        <v>0</v>
      </c>
      <c r="G412" s="4">
        <v>46104</v>
      </c>
      <c r="H412" s="4">
        <v>46109</v>
      </c>
      <c r="I412" s="4">
        <v>46112</v>
      </c>
      <c r="J412" s="4"/>
      <c r="K412" s="1" t="s">
        <v>55</v>
      </c>
      <c r="L412" s="1" t="str">
        <f t="shared" si="6"/>
        <v>Branch</v>
      </c>
      <c r="M412" s="1"/>
      <c r="N412" s="1"/>
      <c r="O412" s="1"/>
      <c r="P412" s="1"/>
      <c r="Q412" s="1"/>
      <c r="R412" s="1"/>
      <c r="S412" s="1"/>
    </row>
    <row r="413" spans="1:19" ht="23" customHeight="1">
      <c r="A413" s="1" t="s">
        <v>470</v>
      </c>
      <c r="B413" s="4">
        <v>46111</v>
      </c>
      <c r="C413" s="1" t="s">
        <v>18</v>
      </c>
      <c r="D413" s="1" t="s">
        <v>62</v>
      </c>
      <c r="E413" s="5">
        <v>9000</v>
      </c>
      <c r="F413" s="1">
        <v>0</v>
      </c>
      <c r="G413" s="4">
        <v>46112</v>
      </c>
      <c r="H413" s="4"/>
      <c r="I413" s="4"/>
      <c r="J413" s="4"/>
      <c r="K413" s="1" t="s">
        <v>69</v>
      </c>
      <c r="L413" s="1" t="str">
        <f t="shared" si="6"/>
        <v>Branch</v>
      </c>
      <c r="M413" s="1"/>
      <c r="N413" s="1"/>
      <c r="O413" s="1"/>
      <c r="P413" s="1"/>
      <c r="Q413" s="1"/>
      <c r="R413" s="1"/>
      <c r="S413" s="1"/>
    </row>
    <row r="414" spans="1:19" ht="23" customHeight="1">
      <c r="A414" s="1" t="s">
        <v>471</v>
      </c>
      <c r="B414" s="4">
        <v>46041</v>
      </c>
      <c r="C414" s="1" t="s">
        <v>18</v>
      </c>
      <c r="D414" s="1" t="s">
        <v>65</v>
      </c>
      <c r="E414" s="5">
        <v>21000</v>
      </c>
      <c r="F414" s="1">
        <v>0</v>
      </c>
      <c r="G414" s="4">
        <v>46041</v>
      </c>
      <c r="H414" s="4">
        <v>46044</v>
      </c>
      <c r="I414" s="4">
        <v>46045</v>
      </c>
      <c r="J414" s="4"/>
      <c r="K414" s="1" t="s">
        <v>55</v>
      </c>
      <c r="L414" s="1" t="str">
        <f t="shared" si="6"/>
        <v>Branch</v>
      </c>
      <c r="M414" s="1"/>
      <c r="N414" s="1"/>
      <c r="O414" s="1"/>
      <c r="P414" s="1"/>
      <c r="Q414" s="1"/>
      <c r="R414" s="1"/>
      <c r="S414" s="1"/>
    </row>
    <row r="415" spans="1:19" ht="23" customHeight="1">
      <c r="A415" s="1" t="s">
        <v>472</v>
      </c>
      <c r="B415" s="4">
        <v>46066</v>
      </c>
      <c r="C415" s="1" t="s">
        <v>19</v>
      </c>
      <c r="D415" s="1" t="s">
        <v>54</v>
      </c>
      <c r="E415" s="5">
        <v>27000</v>
      </c>
      <c r="F415" s="1">
        <v>1</v>
      </c>
      <c r="G415" s="4">
        <v>46070</v>
      </c>
      <c r="H415" s="4">
        <v>46072</v>
      </c>
      <c r="I415" s="4">
        <v>46074</v>
      </c>
      <c r="J415" s="4"/>
      <c r="K415" s="1" t="s">
        <v>55</v>
      </c>
      <c r="L415" s="1" t="str">
        <f t="shared" si="6"/>
        <v>Online</v>
      </c>
      <c r="M415" s="1"/>
      <c r="N415" s="1"/>
      <c r="O415" s="1"/>
      <c r="P415" s="1"/>
      <c r="Q415" s="1"/>
      <c r="R415" s="1"/>
      <c r="S415" s="1"/>
    </row>
    <row r="416" spans="1:19" ht="23" customHeight="1">
      <c r="A416" s="1" t="s">
        <v>473</v>
      </c>
      <c r="B416" s="4">
        <v>46060</v>
      </c>
      <c r="C416" s="1" t="s">
        <v>19</v>
      </c>
      <c r="D416" s="1" t="s">
        <v>54</v>
      </c>
      <c r="E416" s="5">
        <v>46000</v>
      </c>
      <c r="F416" s="1">
        <v>0</v>
      </c>
      <c r="G416" s="4">
        <v>46060</v>
      </c>
      <c r="H416" s="4">
        <v>46063</v>
      </c>
      <c r="I416" s="4">
        <v>46065</v>
      </c>
      <c r="J416" s="4"/>
      <c r="K416" s="1" t="s">
        <v>55</v>
      </c>
      <c r="L416" s="1" t="str">
        <f t="shared" si="6"/>
        <v>Online</v>
      </c>
      <c r="M416" s="1"/>
      <c r="N416" s="1"/>
      <c r="O416" s="1"/>
      <c r="P416" s="1"/>
      <c r="Q416" s="1"/>
      <c r="R416" s="1"/>
      <c r="S416" s="1"/>
    </row>
    <row r="417" spans="1:19" ht="23" customHeight="1">
      <c r="A417" s="1" t="s">
        <v>474</v>
      </c>
      <c r="B417" s="4">
        <v>46065</v>
      </c>
      <c r="C417" s="1" t="s">
        <v>18</v>
      </c>
      <c r="D417" s="1" t="s">
        <v>62</v>
      </c>
      <c r="E417" s="5">
        <v>16000</v>
      </c>
      <c r="F417" s="1">
        <v>1</v>
      </c>
      <c r="G417" s="4">
        <v>46072</v>
      </c>
      <c r="H417" s="4">
        <v>46075</v>
      </c>
      <c r="I417" s="4">
        <v>46076</v>
      </c>
      <c r="J417" s="4"/>
      <c r="K417" s="1" t="s">
        <v>55</v>
      </c>
      <c r="L417" s="1" t="str">
        <f t="shared" si="6"/>
        <v>Branch</v>
      </c>
      <c r="M417" s="1"/>
      <c r="N417" s="1"/>
      <c r="O417" s="1"/>
      <c r="P417" s="1"/>
      <c r="Q417" s="1"/>
      <c r="R417" s="1"/>
      <c r="S417" s="1"/>
    </row>
    <row r="418" spans="1:19" ht="23" customHeight="1">
      <c r="A418" s="1" t="s">
        <v>475</v>
      </c>
      <c r="B418" s="4">
        <v>46030</v>
      </c>
      <c r="C418" s="1" t="s">
        <v>18</v>
      </c>
      <c r="D418" s="1" t="s">
        <v>65</v>
      </c>
      <c r="E418" s="5">
        <v>40000</v>
      </c>
      <c r="F418" s="1">
        <v>0</v>
      </c>
      <c r="G418" s="4">
        <v>46031</v>
      </c>
      <c r="H418" s="4">
        <v>46033</v>
      </c>
      <c r="I418" s="4">
        <v>46035</v>
      </c>
      <c r="J418" s="4"/>
      <c r="K418" s="1" t="s">
        <v>55</v>
      </c>
      <c r="L418" s="1" t="str">
        <f t="shared" si="6"/>
        <v>Branch</v>
      </c>
      <c r="M418" s="1"/>
      <c r="N418" s="1"/>
      <c r="O418" s="1"/>
      <c r="P418" s="1"/>
      <c r="Q418" s="1"/>
      <c r="R418" s="1"/>
      <c r="S418" s="1"/>
    </row>
    <row r="419" spans="1:19" ht="23" customHeight="1">
      <c r="A419" s="1" t="s">
        <v>476</v>
      </c>
      <c r="B419" s="4">
        <v>46059</v>
      </c>
      <c r="C419" s="1" t="s">
        <v>19</v>
      </c>
      <c r="D419" s="1" t="s">
        <v>54</v>
      </c>
      <c r="E419" s="5">
        <v>32000</v>
      </c>
      <c r="F419" s="1">
        <v>0</v>
      </c>
      <c r="G419" s="4">
        <v>46061</v>
      </c>
      <c r="H419" s="4">
        <v>46064</v>
      </c>
      <c r="I419" s="4">
        <v>46067</v>
      </c>
      <c r="J419" s="4"/>
      <c r="K419" s="1" t="s">
        <v>55</v>
      </c>
      <c r="L419" s="1" t="str">
        <f t="shared" si="6"/>
        <v>Online</v>
      </c>
      <c r="M419" s="1"/>
      <c r="N419" s="1"/>
      <c r="O419" s="1"/>
      <c r="P419" s="1"/>
      <c r="Q419" s="1"/>
      <c r="R419" s="1"/>
      <c r="S419" s="1"/>
    </row>
    <row r="420" spans="1:19" ht="23" customHeight="1">
      <c r="A420" s="1" t="s">
        <v>477</v>
      </c>
      <c r="B420" s="4">
        <v>46060</v>
      </c>
      <c r="C420" s="1" t="s">
        <v>18</v>
      </c>
      <c r="D420" s="1" t="s">
        <v>65</v>
      </c>
      <c r="E420" s="5">
        <v>13000</v>
      </c>
      <c r="F420" s="1">
        <v>1</v>
      </c>
      <c r="G420" s="4">
        <v>46066</v>
      </c>
      <c r="H420" s="4">
        <v>46071</v>
      </c>
      <c r="I420" s="4">
        <v>46073</v>
      </c>
      <c r="J420" s="4"/>
      <c r="K420" s="1" t="s">
        <v>55</v>
      </c>
      <c r="L420" s="1" t="str">
        <f t="shared" si="6"/>
        <v>Branch</v>
      </c>
      <c r="M420" s="1"/>
      <c r="N420" s="1"/>
      <c r="O420" s="1"/>
      <c r="P420" s="1"/>
      <c r="Q420" s="1"/>
      <c r="R420" s="1"/>
      <c r="S420" s="1"/>
    </row>
    <row r="421" spans="1:19" ht="23" customHeight="1">
      <c r="A421" s="1" t="s">
        <v>478</v>
      </c>
      <c r="B421" s="4">
        <v>46047</v>
      </c>
      <c r="C421" s="1" t="s">
        <v>18</v>
      </c>
      <c r="D421" s="1" t="s">
        <v>65</v>
      </c>
      <c r="E421" s="5">
        <v>10000</v>
      </c>
      <c r="F421" s="1">
        <v>1</v>
      </c>
      <c r="G421" s="4">
        <v>46056</v>
      </c>
      <c r="H421" s="4">
        <v>46062</v>
      </c>
      <c r="I421" s="4">
        <v>46065</v>
      </c>
      <c r="J421" s="4"/>
      <c r="K421" s="1" t="s">
        <v>55</v>
      </c>
      <c r="L421" s="1" t="str">
        <f t="shared" si="6"/>
        <v>Branch</v>
      </c>
      <c r="M421" s="1"/>
      <c r="N421" s="1"/>
      <c r="O421" s="1"/>
      <c r="P421" s="1"/>
      <c r="Q421" s="1"/>
      <c r="R421" s="1"/>
      <c r="S421" s="1"/>
    </row>
    <row r="422" spans="1:19" ht="23" customHeight="1">
      <c r="A422" s="1" t="s">
        <v>479</v>
      </c>
      <c r="B422" s="4">
        <v>46101</v>
      </c>
      <c r="C422" s="1" t="s">
        <v>18</v>
      </c>
      <c r="D422" s="1" t="s">
        <v>65</v>
      </c>
      <c r="E422" s="5">
        <v>10000</v>
      </c>
      <c r="F422" s="1">
        <v>1</v>
      </c>
      <c r="G422" s="4">
        <v>46108</v>
      </c>
      <c r="H422" s="4">
        <v>46112</v>
      </c>
      <c r="I422" s="4"/>
      <c r="J422" s="4"/>
      <c r="K422" s="1" t="s">
        <v>69</v>
      </c>
      <c r="L422" s="1" t="str">
        <f t="shared" si="6"/>
        <v>Branch</v>
      </c>
      <c r="M422" s="1"/>
      <c r="N422" s="1"/>
      <c r="O422" s="1"/>
      <c r="P422" s="1"/>
      <c r="Q422" s="1"/>
      <c r="R422" s="1"/>
      <c r="S422" s="1"/>
    </row>
    <row r="423" spans="1:19" ht="23" customHeight="1">
      <c r="A423" s="1" t="s">
        <v>480</v>
      </c>
      <c r="B423" s="4">
        <v>46072</v>
      </c>
      <c r="C423" s="1" t="s">
        <v>19</v>
      </c>
      <c r="D423" s="1" t="s">
        <v>54</v>
      </c>
      <c r="E423" s="5">
        <v>17000</v>
      </c>
      <c r="F423" s="1">
        <v>0</v>
      </c>
      <c r="G423" s="4">
        <v>46073</v>
      </c>
      <c r="H423" s="4">
        <v>46075</v>
      </c>
      <c r="I423" s="4">
        <v>46076</v>
      </c>
      <c r="J423" s="4"/>
      <c r="K423" s="1" t="s">
        <v>55</v>
      </c>
      <c r="L423" s="1" t="str">
        <f t="shared" si="6"/>
        <v>Online</v>
      </c>
      <c r="M423" s="1"/>
      <c r="N423" s="1"/>
      <c r="O423" s="1"/>
      <c r="P423" s="1"/>
      <c r="Q423" s="1"/>
      <c r="R423" s="1"/>
      <c r="S423" s="1"/>
    </row>
    <row r="424" spans="1:19" ht="23" customHeight="1">
      <c r="A424" s="1" t="s">
        <v>481</v>
      </c>
      <c r="B424" s="4">
        <v>46109</v>
      </c>
      <c r="C424" s="1" t="s">
        <v>18</v>
      </c>
      <c r="D424" s="1" t="s">
        <v>71</v>
      </c>
      <c r="E424" s="5">
        <v>48000</v>
      </c>
      <c r="F424" s="1">
        <v>1</v>
      </c>
      <c r="G424" s="4">
        <v>46112</v>
      </c>
      <c r="H424" s="4"/>
      <c r="I424" s="4"/>
      <c r="J424" s="4"/>
      <c r="K424" s="1" t="s">
        <v>69</v>
      </c>
      <c r="L424" s="1" t="str">
        <f t="shared" si="6"/>
        <v>Branch</v>
      </c>
      <c r="M424" s="1"/>
      <c r="N424" s="1"/>
      <c r="O424" s="1"/>
      <c r="P424" s="1"/>
      <c r="Q424" s="1"/>
      <c r="R424" s="1"/>
      <c r="S424" s="1"/>
    </row>
    <row r="425" spans="1:19" ht="23" customHeight="1">
      <c r="A425" s="1" t="s">
        <v>482</v>
      </c>
      <c r="B425" s="4">
        <v>46025</v>
      </c>
      <c r="C425" s="1" t="s">
        <v>19</v>
      </c>
      <c r="D425" s="1" t="s">
        <v>54</v>
      </c>
      <c r="E425" s="5">
        <v>14000</v>
      </c>
      <c r="F425" s="1">
        <v>0</v>
      </c>
      <c r="G425" s="4">
        <v>46026</v>
      </c>
      <c r="H425" s="4">
        <v>46029</v>
      </c>
      <c r="I425" s="4">
        <v>46032</v>
      </c>
      <c r="J425" s="4"/>
      <c r="K425" s="1" t="s">
        <v>55</v>
      </c>
      <c r="L425" s="1" t="str">
        <f t="shared" si="6"/>
        <v>Online</v>
      </c>
      <c r="M425" s="1"/>
      <c r="N425" s="1"/>
      <c r="O425" s="1"/>
      <c r="P425" s="1"/>
      <c r="Q425" s="1"/>
      <c r="R425" s="1"/>
      <c r="S425" s="1"/>
    </row>
    <row r="426" spans="1:19" ht="23" customHeight="1">
      <c r="A426" s="1" t="s">
        <v>483</v>
      </c>
      <c r="B426" s="4">
        <v>46068</v>
      </c>
      <c r="C426" s="1" t="s">
        <v>18</v>
      </c>
      <c r="D426" s="1" t="s">
        <v>59</v>
      </c>
      <c r="E426" s="5">
        <v>50000</v>
      </c>
      <c r="F426" s="1">
        <v>0</v>
      </c>
      <c r="G426" s="4">
        <v>46069</v>
      </c>
      <c r="H426" s="4">
        <v>46074</v>
      </c>
      <c r="I426" s="4">
        <v>46075</v>
      </c>
      <c r="J426" s="4"/>
      <c r="K426" s="1" t="s">
        <v>55</v>
      </c>
      <c r="L426" s="1" t="str">
        <f t="shared" si="6"/>
        <v>Branch</v>
      </c>
      <c r="M426" s="1"/>
      <c r="N426" s="1"/>
      <c r="O426" s="1"/>
      <c r="P426" s="1"/>
      <c r="Q426" s="1"/>
      <c r="R426" s="1"/>
      <c r="S426" s="1"/>
    </row>
    <row r="427" spans="1:19" ht="23" customHeight="1">
      <c r="A427" s="1" t="s">
        <v>484</v>
      </c>
      <c r="B427" s="4">
        <v>46028</v>
      </c>
      <c r="C427" s="1" t="s">
        <v>19</v>
      </c>
      <c r="D427" s="1" t="s">
        <v>54</v>
      </c>
      <c r="E427" s="5">
        <v>37000</v>
      </c>
      <c r="F427" s="1">
        <v>0</v>
      </c>
      <c r="G427" s="4">
        <v>46029</v>
      </c>
      <c r="H427" s="4">
        <v>46033</v>
      </c>
      <c r="I427" s="4">
        <v>46035</v>
      </c>
      <c r="J427" s="4"/>
      <c r="K427" s="1" t="s">
        <v>55</v>
      </c>
      <c r="L427" s="1" t="str">
        <f t="shared" si="6"/>
        <v>Online</v>
      </c>
      <c r="M427" s="1"/>
      <c r="N427" s="1"/>
      <c r="O427" s="1"/>
      <c r="P427" s="1"/>
      <c r="Q427" s="1"/>
      <c r="R427" s="1"/>
      <c r="S427" s="1"/>
    </row>
    <row r="428" spans="1:19" ht="23" customHeight="1">
      <c r="A428" s="1" t="s">
        <v>485</v>
      </c>
      <c r="B428" s="4">
        <v>46048</v>
      </c>
      <c r="C428" s="1" t="s">
        <v>19</v>
      </c>
      <c r="D428" s="1" t="s">
        <v>54</v>
      </c>
      <c r="E428" s="5">
        <v>10000</v>
      </c>
      <c r="F428" s="1">
        <v>0</v>
      </c>
      <c r="G428" s="4">
        <v>46048</v>
      </c>
      <c r="H428" s="4">
        <v>46051</v>
      </c>
      <c r="I428" s="4">
        <v>46052</v>
      </c>
      <c r="J428" s="4"/>
      <c r="K428" s="1" t="s">
        <v>55</v>
      </c>
      <c r="L428" s="1" t="str">
        <f t="shared" si="6"/>
        <v>Online</v>
      </c>
      <c r="M428" s="1"/>
      <c r="N428" s="1"/>
      <c r="O428" s="1"/>
      <c r="P428" s="1"/>
      <c r="Q428" s="1"/>
      <c r="R428" s="1"/>
      <c r="S428" s="1"/>
    </row>
    <row r="429" spans="1:19" ht="23" customHeight="1">
      <c r="A429" s="1" t="s">
        <v>486</v>
      </c>
      <c r="B429" s="4">
        <v>46081</v>
      </c>
      <c r="C429" s="1" t="s">
        <v>19</v>
      </c>
      <c r="D429" s="1" t="s">
        <v>54</v>
      </c>
      <c r="E429" s="5">
        <v>32000</v>
      </c>
      <c r="F429" s="1">
        <v>0</v>
      </c>
      <c r="G429" s="4">
        <v>46082</v>
      </c>
      <c r="H429" s="4">
        <v>46085</v>
      </c>
      <c r="I429" s="4">
        <v>46087</v>
      </c>
      <c r="J429" s="4"/>
      <c r="K429" s="1" t="s">
        <v>55</v>
      </c>
      <c r="L429" s="1" t="str">
        <f t="shared" si="6"/>
        <v>Online</v>
      </c>
      <c r="M429" s="1"/>
      <c r="N429" s="1"/>
      <c r="O429" s="1"/>
      <c r="P429" s="1"/>
      <c r="Q429" s="1"/>
      <c r="R429" s="1"/>
      <c r="S429" s="1"/>
    </row>
    <row r="430" spans="1:19" ht="23" customHeight="1">
      <c r="A430" s="1" t="s">
        <v>487</v>
      </c>
      <c r="B430" s="4">
        <v>46047</v>
      </c>
      <c r="C430" s="1" t="s">
        <v>18</v>
      </c>
      <c r="D430" s="1" t="s">
        <v>65</v>
      </c>
      <c r="E430" s="5">
        <v>47000</v>
      </c>
      <c r="F430" s="1">
        <v>1</v>
      </c>
      <c r="G430" s="4">
        <v>46051</v>
      </c>
      <c r="H430" s="4">
        <v>46056</v>
      </c>
      <c r="I430" s="4">
        <v>46057</v>
      </c>
      <c r="J430" s="4"/>
      <c r="K430" s="1" t="s">
        <v>55</v>
      </c>
      <c r="L430" s="1" t="str">
        <f t="shared" si="6"/>
        <v>Branch</v>
      </c>
      <c r="M430" s="1"/>
      <c r="N430" s="1"/>
      <c r="O430" s="1"/>
      <c r="P430" s="1"/>
      <c r="Q430" s="1"/>
      <c r="R430" s="1"/>
      <c r="S430" s="1"/>
    </row>
    <row r="431" spans="1:19" ht="23" customHeight="1">
      <c r="A431" s="1" t="s">
        <v>488</v>
      </c>
      <c r="B431" s="4">
        <v>46060</v>
      </c>
      <c r="C431" s="1" t="s">
        <v>18</v>
      </c>
      <c r="D431" s="1" t="s">
        <v>62</v>
      </c>
      <c r="E431" s="5">
        <v>26000</v>
      </c>
      <c r="F431" s="1">
        <v>0</v>
      </c>
      <c r="G431" s="4">
        <v>46061</v>
      </c>
      <c r="H431" s="4">
        <v>46068</v>
      </c>
      <c r="I431" s="4">
        <v>46069</v>
      </c>
      <c r="J431" s="4"/>
      <c r="K431" s="1" t="s">
        <v>55</v>
      </c>
      <c r="L431" s="1" t="str">
        <f t="shared" si="6"/>
        <v>Branch</v>
      </c>
      <c r="M431" s="1"/>
      <c r="N431" s="1"/>
      <c r="O431" s="1"/>
      <c r="P431" s="1"/>
      <c r="Q431" s="1"/>
      <c r="R431" s="1"/>
      <c r="S431" s="1"/>
    </row>
    <row r="432" spans="1:19" ht="23" customHeight="1">
      <c r="A432" s="1" t="s">
        <v>489</v>
      </c>
      <c r="B432" s="4">
        <v>46033</v>
      </c>
      <c r="C432" s="1" t="s">
        <v>19</v>
      </c>
      <c r="D432" s="1" t="s">
        <v>54</v>
      </c>
      <c r="E432" s="5">
        <v>39000</v>
      </c>
      <c r="F432" s="1">
        <v>0</v>
      </c>
      <c r="G432" s="4">
        <v>46035</v>
      </c>
      <c r="H432" s="4">
        <v>46038</v>
      </c>
      <c r="I432" s="4">
        <v>46041</v>
      </c>
      <c r="J432" s="4"/>
      <c r="K432" s="1" t="s">
        <v>55</v>
      </c>
      <c r="L432" s="1" t="str">
        <f t="shared" si="6"/>
        <v>Online</v>
      </c>
      <c r="M432" s="1"/>
      <c r="N432" s="1"/>
      <c r="O432" s="1"/>
      <c r="P432" s="1"/>
      <c r="Q432" s="1"/>
      <c r="R432" s="1"/>
      <c r="S432" s="1"/>
    </row>
    <row r="433" spans="1:19" ht="23" customHeight="1">
      <c r="A433" s="1" t="s">
        <v>490</v>
      </c>
      <c r="B433" s="4">
        <v>46100</v>
      </c>
      <c r="C433" s="1" t="s">
        <v>19</v>
      </c>
      <c r="D433" s="1" t="s">
        <v>54</v>
      </c>
      <c r="E433" s="5">
        <v>48000</v>
      </c>
      <c r="F433" s="1">
        <v>1</v>
      </c>
      <c r="G433" s="4">
        <v>46104</v>
      </c>
      <c r="H433" s="4">
        <v>46106</v>
      </c>
      <c r="I433" s="4">
        <v>46109</v>
      </c>
      <c r="J433" s="4"/>
      <c r="K433" s="1" t="s">
        <v>55</v>
      </c>
      <c r="L433" s="1" t="str">
        <f t="shared" si="6"/>
        <v>Online</v>
      </c>
      <c r="M433" s="1"/>
      <c r="N433" s="1"/>
      <c r="O433" s="1"/>
      <c r="P433" s="1"/>
      <c r="Q433" s="1"/>
      <c r="R433" s="1"/>
      <c r="S433" s="1"/>
    </row>
    <row r="434" spans="1:19" ht="23" customHeight="1">
      <c r="A434" s="1" t="s">
        <v>491</v>
      </c>
      <c r="B434" s="4">
        <v>46034</v>
      </c>
      <c r="C434" s="1" t="s">
        <v>19</v>
      </c>
      <c r="D434" s="1" t="s">
        <v>54</v>
      </c>
      <c r="E434" s="5">
        <v>43000</v>
      </c>
      <c r="F434" s="1">
        <v>0</v>
      </c>
      <c r="G434" s="4">
        <v>46035</v>
      </c>
      <c r="H434" s="4">
        <v>46037</v>
      </c>
      <c r="I434" s="4">
        <v>46038</v>
      </c>
      <c r="J434" s="4"/>
      <c r="K434" s="1" t="s">
        <v>55</v>
      </c>
      <c r="L434" s="1" t="str">
        <f t="shared" si="6"/>
        <v>Online</v>
      </c>
      <c r="M434" s="1"/>
      <c r="N434" s="1"/>
      <c r="O434" s="1"/>
      <c r="P434" s="1"/>
      <c r="Q434" s="1"/>
      <c r="R434" s="1"/>
      <c r="S434" s="1"/>
    </row>
    <row r="435" spans="1:19" ht="23" customHeight="1">
      <c r="A435" s="1" t="s">
        <v>492</v>
      </c>
      <c r="B435" s="4">
        <v>46034</v>
      </c>
      <c r="C435" s="1" t="s">
        <v>19</v>
      </c>
      <c r="D435" s="1" t="s">
        <v>54</v>
      </c>
      <c r="E435" s="5">
        <v>46000</v>
      </c>
      <c r="F435" s="1">
        <v>1</v>
      </c>
      <c r="G435" s="4">
        <v>46041</v>
      </c>
      <c r="H435" s="4">
        <v>46047</v>
      </c>
      <c r="I435" s="4">
        <v>46049</v>
      </c>
      <c r="J435" s="4"/>
      <c r="K435" s="1" t="s">
        <v>55</v>
      </c>
      <c r="L435" s="1" t="str">
        <f t="shared" si="6"/>
        <v>Online</v>
      </c>
      <c r="M435" s="1"/>
      <c r="N435" s="1"/>
      <c r="O435" s="1"/>
      <c r="P435" s="1"/>
      <c r="Q435" s="1"/>
      <c r="R435" s="1"/>
      <c r="S435" s="1"/>
    </row>
    <row r="436" spans="1:19" ht="23" customHeight="1">
      <c r="A436" s="1" t="s">
        <v>493</v>
      </c>
      <c r="B436" s="4">
        <v>46037</v>
      </c>
      <c r="C436" s="1" t="s">
        <v>18</v>
      </c>
      <c r="D436" s="1" t="s">
        <v>65</v>
      </c>
      <c r="E436" s="5">
        <v>36000</v>
      </c>
      <c r="F436" s="1">
        <v>0</v>
      </c>
      <c r="G436" s="4">
        <v>46037</v>
      </c>
      <c r="H436" s="4">
        <v>46039</v>
      </c>
      <c r="I436" s="4">
        <v>46042</v>
      </c>
      <c r="J436" s="4"/>
      <c r="K436" s="1" t="s">
        <v>63</v>
      </c>
      <c r="L436" s="1" t="str">
        <f t="shared" si="6"/>
        <v>Branch</v>
      </c>
      <c r="M436" s="1"/>
      <c r="N436" s="1"/>
      <c r="O436" s="1"/>
      <c r="P436" s="1"/>
      <c r="Q436" s="1"/>
      <c r="R436" s="1"/>
      <c r="S436" s="1"/>
    </row>
    <row r="437" spans="1:19" ht="23" customHeight="1">
      <c r="A437" s="1" t="s">
        <v>494</v>
      </c>
      <c r="B437" s="4">
        <v>46046</v>
      </c>
      <c r="C437" s="1" t="s">
        <v>18</v>
      </c>
      <c r="D437" s="1" t="s">
        <v>62</v>
      </c>
      <c r="E437" s="5">
        <v>44000</v>
      </c>
      <c r="F437" s="1">
        <v>0</v>
      </c>
      <c r="G437" s="4">
        <v>46047</v>
      </c>
      <c r="H437" s="4">
        <v>46054</v>
      </c>
      <c r="I437" s="4">
        <v>46057</v>
      </c>
      <c r="J437" s="4"/>
      <c r="K437" s="1" t="s">
        <v>55</v>
      </c>
      <c r="L437" s="1" t="str">
        <f t="shared" si="6"/>
        <v>Branch</v>
      </c>
      <c r="M437" s="1"/>
      <c r="N437" s="1"/>
      <c r="O437" s="1"/>
      <c r="P437" s="1"/>
      <c r="Q437" s="1"/>
      <c r="R437" s="1"/>
      <c r="S437" s="1"/>
    </row>
    <row r="438" spans="1:19" ht="23" customHeight="1">
      <c r="A438" s="1" t="s">
        <v>495</v>
      </c>
      <c r="B438" s="4">
        <v>46112</v>
      </c>
      <c r="C438" s="1" t="s">
        <v>18</v>
      </c>
      <c r="D438" s="1" t="s">
        <v>62</v>
      </c>
      <c r="E438" s="5">
        <v>38000</v>
      </c>
      <c r="F438" s="1">
        <v>0</v>
      </c>
      <c r="G438" s="4">
        <v>46112</v>
      </c>
      <c r="H438" s="4"/>
      <c r="I438" s="4"/>
      <c r="J438" s="4"/>
      <c r="K438" s="1" t="s">
        <v>69</v>
      </c>
      <c r="L438" s="1" t="str">
        <f t="shared" si="6"/>
        <v>Branch</v>
      </c>
      <c r="M438" s="1"/>
      <c r="N438" s="1"/>
      <c r="O438" s="1"/>
      <c r="P438" s="1"/>
      <c r="Q438" s="1"/>
      <c r="R438" s="1"/>
      <c r="S438" s="1"/>
    </row>
    <row r="439" spans="1:19" ht="23" customHeight="1">
      <c r="A439" s="1" t="s">
        <v>496</v>
      </c>
      <c r="B439" s="4">
        <v>46105</v>
      </c>
      <c r="C439" s="1" t="s">
        <v>19</v>
      </c>
      <c r="D439" s="1" t="s">
        <v>54</v>
      </c>
      <c r="E439" s="5">
        <v>48000</v>
      </c>
      <c r="F439" s="1">
        <v>1</v>
      </c>
      <c r="G439" s="4"/>
      <c r="H439" s="4"/>
      <c r="I439" s="4"/>
      <c r="J439" s="4"/>
      <c r="K439" s="1" t="s">
        <v>69</v>
      </c>
      <c r="L439" s="1" t="str">
        <f t="shared" si="6"/>
        <v>Online</v>
      </c>
      <c r="M439" s="1"/>
      <c r="N439" s="1"/>
      <c r="O439" s="1"/>
      <c r="P439" s="1"/>
      <c r="Q439" s="1"/>
      <c r="R439" s="1"/>
      <c r="S439" s="1"/>
    </row>
    <row r="440" spans="1:19" ht="23" customHeight="1">
      <c r="A440" s="1" t="s">
        <v>497</v>
      </c>
      <c r="B440" s="4">
        <v>46098</v>
      </c>
      <c r="C440" s="1" t="s">
        <v>18</v>
      </c>
      <c r="D440" s="1" t="s">
        <v>71</v>
      </c>
      <c r="E440" s="5">
        <v>48000</v>
      </c>
      <c r="F440" s="1">
        <v>0</v>
      </c>
      <c r="G440" s="4">
        <v>46099</v>
      </c>
      <c r="H440" s="4">
        <v>46100</v>
      </c>
      <c r="I440" s="4">
        <v>46103</v>
      </c>
      <c r="J440" s="4"/>
      <c r="K440" s="1" t="s">
        <v>55</v>
      </c>
      <c r="L440" s="1" t="str">
        <f t="shared" si="6"/>
        <v>Branch</v>
      </c>
      <c r="M440" s="1"/>
      <c r="N440" s="1"/>
      <c r="O440" s="1"/>
      <c r="P440" s="1"/>
      <c r="Q440" s="1"/>
      <c r="R440" s="1"/>
      <c r="S440" s="1"/>
    </row>
    <row r="441" spans="1:19" ht="23" customHeight="1">
      <c r="A441" s="1" t="s">
        <v>498</v>
      </c>
      <c r="B441" s="4">
        <v>46101</v>
      </c>
      <c r="C441" s="1" t="s">
        <v>18</v>
      </c>
      <c r="D441" s="1" t="s">
        <v>62</v>
      </c>
      <c r="E441" s="5">
        <v>26000</v>
      </c>
      <c r="F441" s="1">
        <v>0</v>
      </c>
      <c r="G441" s="4">
        <v>46103</v>
      </c>
      <c r="H441" s="4">
        <v>46111</v>
      </c>
      <c r="I441" s="4">
        <v>46112</v>
      </c>
      <c r="J441" s="4"/>
      <c r="K441" s="1" t="s">
        <v>55</v>
      </c>
      <c r="L441" s="1" t="str">
        <f t="shared" si="6"/>
        <v>Branch</v>
      </c>
      <c r="M441" s="1"/>
      <c r="N441" s="1"/>
      <c r="O441" s="1"/>
      <c r="P441" s="1"/>
      <c r="Q441" s="1"/>
      <c r="R441" s="1"/>
      <c r="S441" s="1"/>
    </row>
    <row r="442" spans="1:19" ht="23" customHeight="1">
      <c r="A442" s="1" t="s">
        <v>499</v>
      </c>
      <c r="B442" s="4">
        <v>46039</v>
      </c>
      <c r="C442" s="1" t="s">
        <v>18</v>
      </c>
      <c r="D442" s="1" t="s">
        <v>65</v>
      </c>
      <c r="E442" s="5">
        <v>44000</v>
      </c>
      <c r="F442" s="1">
        <v>0</v>
      </c>
      <c r="G442" s="4">
        <v>46039</v>
      </c>
      <c r="H442" s="4">
        <v>46041</v>
      </c>
      <c r="I442" s="4">
        <v>46043</v>
      </c>
      <c r="J442" s="4"/>
      <c r="K442" s="1" t="s">
        <v>63</v>
      </c>
      <c r="L442" s="1" t="str">
        <f t="shared" si="6"/>
        <v>Branch</v>
      </c>
      <c r="M442" s="1"/>
      <c r="N442" s="1"/>
      <c r="O442" s="1"/>
      <c r="P442" s="1"/>
      <c r="Q442" s="1"/>
      <c r="R442" s="1"/>
      <c r="S442" s="1"/>
    </row>
    <row r="443" spans="1:19" ht="23" customHeight="1">
      <c r="A443" s="1" t="s">
        <v>500</v>
      </c>
      <c r="B443" s="4">
        <v>46042</v>
      </c>
      <c r="C443" s="1" t="s">
        <v>18</v>
      </c>
      <c r="D443" s="1" t="s">
        <v>71</v>
      </c>
      <c r="E443" s="5">
        <v>48000</v>
      </c>
      <c r="F443" s="1">
        <v>1</v>
      </c>
      <c r="G443" s="4"/>
      <c r="H443" s="4"/>
      <c r="I443" s="4"/>
      <c r="J443" s="4">
        <v>46046</v>
      </c>
      <c r="K443" s="1" t="s">
        <v>86</v>
      </c>
      <c r="L443" s="1" t="str">
        <f t="shared" si="6"/>
        <v>Branch</v>
      </c>
      <c r="M443" s="1"/>
      <c r="N443" s="1"/>
      <c r="O443" s="1"/>
      <c r="P443" s="1"/>
      <c r="Q443" s="1"/>
      <c r="R443" s="1"/>
      <c r="S443" s="1"/>
    </row>
    <row r="444" spans="1:19" ht="23" customHeight="1">
      <c r="A444" s="1" t="s">
        <v>501</v>
      </c>
      <c r="B444" s="4">
        <v>46105</v>
      </c>
      <c r="C444" s="1" t="s">
        <v>19</v>
      </c>
      <c r="D444" s="1" t="s">
        <v>54</v>
      </c>
      <c r="E444" s="5">
        <v>22000</v>
      </c>
      <c r="F444" s="1">
        <v>0</v>
      </c>
      <c r="G444" s="4">
        <v>46106</v>
      </c>
      <c r="H444" s="4">
        <v>46109</v>
      </c>
      <c r="I444" s="4">
        <v>46110</v>
      </c>
      <c r="J444" s="4"/>
      <c r="K444" s="1" t="s">
        <v>55</v>
      </c>
      <c r="L444" s="1" t="str">
        <f t="shared" si="6"/>
        <v>Online</v>
      </c>
      <c r="M444" s="1"/>
      <c r="N444" s="1"/>
      <c r="O444" s="1"/>
      <c r="P444" s="1"/>
      <c r="Q444" s="1"/>
      <c r="R444" s="1"/>
      <c r="S444" s="1"/>
    </row>
    <row r="445" spans="1:19" ht="23" customHeight="1">
      <c r="A445" s="1" t="s">
        <v>502</v>
      </c>
      <c r="B445" s="4">
        <v>46080</v>
      </c>
      <c r="C445" s="1" t="s">
        <v>18</v>
      </c>
      <c r="D445" s="1" t="s">
        <v>71</v>
      </c>
      <c r="E445" s="5">
        <v>16000</v>
      </c>
      <c r="F445" s="1">
        <v>0</v>
      </c>
      <c r="G445" s="4">
        <v>46080</v>
      </c>
      <c r="H445" s="4">
        <v>46084</v>
      </c>
      <c r="I445" s="4">
        <v>46087</v>
      </c>
      <c r="J445" s="4"/>
      <c r="K445" s="1" t="s">
        <v>63</v>
      </c>
      <c r="L445" s="1" t="str">
        <f t="shared" si="6"/>
        <v>Branch</v>
      </c>
      <c r="M445" s="1"/>
      <c r="N445" s="1"/>
      <c r="O445" s="1"/>
      <c r="P445" s="1"/>
      <c r="Q445" s="1"/>
      <c r="R445" s="1"/>
      <c r="S445" s="1"/>
    </row>
    <row r="446" spans="1:19" ht="23" customHeight="1">
      <c r="A446" s="1" t="s">
        <v>503</v>
      </c>
      <c r="B446" s="4">
        <v>46065</v>
      </c>
      <c r="C446" s="1" t="s">
        <v>19</v>
      </c>
      <c r="D446" s="1" t="s">
        <v>54</v>
      </c>
      <c r="E446" s="5">
        <v>28000</v>
      </c>
      <c r="F446" s="1">
        <v>0</v>
      </c>
      <c r="G446" s="4">
        <v>46067</v>
      </c>
      <c r="H446" s="4">
        <v>46072</v>
      </c>
      <c r="I446" s="4">
        <v>46074</v>
      </c>
      <c r="J446" s="4"/>
      <c r="K446" s="1" t="s">
        <v>55</v>
      </c>
      <c r="L446" s="1" t="str">
        <f t="shared" si="6"/>
        <v>Online</v>
      </c>
      <c r="M446" s="1"/>
      <c r="N446" s="1"/>
      <c r="O446" s="1"/>
      <c r="P446" s="1"/>
      <c r="Q446" s="1"/>
      <c r="R446" s="1"/>
      <c r="S446" s="1"/>
    </row>
    <row r="447" spans="1:19" ht="23" customHeight="1">
      <c r="A447" s="1" t="s">
        <v>504</v>
      </c>
      <c r="B447" s="4">
        <v>46032</v>
      </c>
      <c r="C447" s="1" t="s">
        <v>18</v>
      </c>
      <c r="D447" s="1" t="s">
        <v>59</v>
      </c>
      <c r="E447" s="5">
        <v>41000</v>
      </c>
      <c r="F447" s="1">
        <v>1</v>
      </c>
      <c r="G447" s="4">
        <v>46040</v>
      </c>
      <c r="H447" s="4">
        <v>46042</v>
      </c>
      <c r="I447" s="4">
        <v>46045</v>
      </c>
      <c r="J447" s="4"/>
      <c r="K447" s="1" t="s">
        <v>63</v>
      </c>
      <c r="L447" s="1" t="str">
        <f t="shared" si="6"/>
        <v>Branch</v>
      </c>
      <c r="M447" s="1"/>
      <c r="N447" s="1"/>
      <c r="O447" s="1"/>
      <c r="P447" s="1"/>
      <c r="Q447" s="1"/>
      <c r="R447" s="1"/>
      <c r="S447" s="1"/>
    </row>
    <row r="448" spans="1:19" ht="23" customHeight="1">
      <c r="A448" s="1" t="s">
        <v>505</v>
      </c>
      <c r="B448" s="4">
        <v>46050</v>
      </c>
      <c r="C448" s="1" t="s">
        <v>18</v>
      </c>
      <c r="D448" s="1" t="s">
        <v>71</v>
      </c>
      <c r="E448" s="5">
        <v>41000</v>
      </c>
      <c r="F448" s="1">
        <v>0</v>
      </c>
      <c r="G448" s="4">
        <v>46051</v>
      </c>
      <c r="H448" s="4">
        <v>46053</v>
      </c>
      <c r="I448" s="4">
        <v>46056</v>
      </c>
      <c r="J448" s="4"/>
      <c r="K448" s="1" t="s">
        <v>55</v>
      </c>
      <c r="L448" s="1" t="str">
        <f t="shared" si="6"/>
        <v>Branch</v>
      </c>
      <c r="M448" s="1"/>
      <c r="N448" s="1"/>
      <c r="O448" s="1"/>
      <c r="P448" s="1"/>
      <c r="Q448" s="1"/>
      <c r="R448" s="1"/>
      <c r="S448" s="1"/>
    </row>
    <row r="449" spans="1:19" ht="23" customHeight="1">
      <c r="A449" s="1" t="s">
        <v>506</v>
      </c>
      <c r="B449" s="4">
        <v>46091</v>
      </c>
      <c r="C449" s="1" t="s">
        <v>19</v>
      </c>
      <c r="D449" s="1" t="s">
        <v>54</v>
      </c>
      <c r="E449" s="5">
        <v>10000</v>
      </c>
      <c r="F449" s="1">
        <v>1</v>
      </c>
      <c r="G449" s="4"/>
      <c r="H449" s="4"/>
      <c r="I449" s="4"/>
      <c r="J449" s="4">
        <v>46101</v>
      </c>
      <c r="K449" s="1" t="s">
        <v>86</v>
      </c>
      <c r="L449" s="1" t="str">
        <f t="shared" si="6"/>
        <v>Online</v>
      </c>
      <c r="M449" s="1"/>
      <c r="N449" s="1"/>
      <c r="O449" s="1"/>
      <c r="P449" s="1"/>
      <c r="Q449" s="1"/>
      <c r="R449" s="1"/>
      <c r="S449" s="1"/>
    </row>
    <row r="450" spans="1:19" ht="23" customHeight="1">
      <c r="A450" s="1" t="s">
        <v>507</v>
      </c>
      <c r="B450" s="4">
        <v>46050</v>
      </c>
      <c r="C450" s="1" t="s">
        <v>19</v>
      </c>
      <c r="D450" s="1" t="s">
        <v>54</v>
      </c>
      <c r="E450" s="5">
        <v>49000</v>
      </c>
      <c r="F450" s="1">
        <v>0</v>
      </c>
      <c r="G450" s="4">
        <v>46050</v>
      </c>
      <c r="H450" s="4">
        <v>46052</v>
      </c>
      <c r="I450" s="4">
        <v>46053</v>
      </c>
      <c r="J450" s="4"/>
      <c r="K450" s="1" t="s">
        <v>55</v>
      </c>
      <c r="L450" s="1" t="str">
        <f t="shared" si="6"/>
        <v>Online</v>
      </c>
      <c r="M450" s="1"/>
      <c r="N450" s="1"/>
      <c r="O450" s="1"/>
      <c r="P450" s="1"/>
      <c r="Q450" s="1"/>
      <c r="R450" s="1"/>
      <c r="S450" s="1"/>
    </row>
    <row r="451" spans="1:19" ht="23" customHeight="1">
      <c r="A451" s="1" t="s">
        <v>508</v>
      </c>
      <c r="B451" s="4">
        <v>46044</v>
      </c>
      <c r="C451" s="1" t="s">
        <v>18</v>
      </c>
      <c r="D451" s="1" t="s">
        <v>71</v>
      </c>
      <c r="E451" s="5">
        <v>15000</v>
      </c>
      <c r="F451" s="1">
        <v>0</v>
      </c>
      <c r="G451" s="4">
        <v>46044</v>
      </c>
      <c r="H451" s="4">
        <v>46045</v>
      </c>
      <c r="I451" s="4">
        <v>46048</v>
      </c>
      <c r="J451" s="4"/>
      <c r="K451" s="1" t="s">
        <v>63</v>
      </c>
      <c r="L451" s="1" t="str">
        <f t="shared" si="6"/>
        <v>Branch</v>
      </c>
      <c r="M451" s="1"/>
      <c r="N451" s="1"/>
      <c r="O451" s="1"/>
      <c r="P451" s="1"/>
      <c r="Q451" s="1"/>
      <c r="R451" s="1"/>
      <c r="S451" s="1"/>
    </row>
    <row r="452" spans="1:19" ht="23" customHeight="1">
      <c r="A452" s="1" t="s">
        <v>509</v>
      </c>
      <c r="B452" s="4">
        <v>46027</v>
      </c>
      <c r="C452" s="1" t="s">
        <v>18</v>
      </c>
      <c r="D452" s="1" t="s">
        <v>65</v>
      </c>
      <c r="E452" s="5">
        <v>41000</v>
      </c>
      <c r="F452" s="1">
        <v>0</v>
      </c>
      <c r="G452" s="4">
        <v>46027</v>
      </c>
      <c r="H452" s="4">
        <v>46029</v>
      </c>
      <c r="I452" s="4">
        <v>46032</v>
      </c>
      <c r="J452" s="4"/>
      <c r="K452" s="1" t="s">
        <v>63</v>
      </c>
      <c r="L452" s="1" t="str">
        <f t="shared" si="6"/>
        <v>Branch</v>
      </c>
      <c r="M452" s="1"/>
      <c r="N452" s="1"/>
      <c r="O452" s="1"/>
      <c r="P452" s="1"/>
      <c r="Q452" s="1"/>
      <c r="R452" s="1"/>
      <c r="S452" s="1"/>
    </row>
    <row r="453" spans="1:19" ht="23" customHeight="1">
      <c r="A453" s="1" t="s">
        <v>510</v>
      </c>
      <c r="B453" s="4">
        <v>46091</v>
      </c>
      <c r="C453" s="1" t="s">
        <v>19</v>
      </c>
      <c r="D453" s="1" t="s">
        <v>54</v>
      </c>
      <c r="E453" s="5">
        <v>31000</v>
      </c>
      <c r="F453" s="1">
        <v>0</v>
      </c>
      <c r="G453" s="4">
        <v>46092</v>
      </c>
      <c r="H453" s="4">
        <v>46095</v>
      </c>
      <c r="I453" s="4">
        <v>46098</v>
      </c>
      <c r="J453" s="4"/>
      <c r="K453" s="1" t="s">
        <v>55</v>
      </c>
      <c r="L453" s="1" t="str">
        <f t="shared" ref="L453:L516" si="7">PROPER(TRIM(C453))</f>
        <v>Online</v>
      </c>
      <c r="M453" s="1"/>
      <c r="N453" s="1"/>
      <c r="O453" s="1"/>
      <c r="P453" s="1"/>
      <c r="Q453" s="1"/>
      <c r="R453" s="1"/>
      <c r="S453" s="1"/>
    </row>
    <row r="454" spans="1:19" ht="23" customHeight="1">
      <c r="A454" s="1" t="s">
        <v>511</v>
      </c>
      <c r="B454" s="4">
        <v>46039</v>
      </c>
      <c r="C454" s="1" t="s">
        <v>19</v>
      </c>
      <c r="D454" s="1" t="s">
        <v>54</v>
      </c>
      <c r="E454" s="5">
        <v>9000</v>
      </c>
      <c r="F454" s="1">
        <v>0</v>
      </c>
      <c r="G454" s="4">
        <v>46040</v>
      </c>
      <c r="H454" s="4">
        <v>46042</v>
      </c>
      <c r="I454" s="4">
        <v>46043</v>
      </c>
      <c r="J454" s="4"/>
      <c r="K454" s="1" t="s">
        <v>63</v>
      </c>
      <c r="L454" s="1" t="str">
        <f t="shared" si="7"/>
        <v>Online</v>
      </c>
      <c r="M454" s="1"/>
      <c r="N454" s="1"/>
      <c r="O454" s="1"/>
      <c r="P454" s="1"/>
      <c r="Q454" s="1"/>
      <c r="R454" s="1"/>
      <c r="S454" s="1"/>
    </row>
    <row r="455" spans="1:19" ht="23" customHeight="1">
      <c r="A455" s="1" t="s">
        <v>512</v>
      </c>
      <c r="B455" s="4">
        <v>46030</v>
      </c>
      <c r="C455" s="1" t="s">
        <v>19</v>
      </c>
      <c r="D455" s="1" t="s">
        <v>54</v>
      </c>
      <c r="E455" s="5">
        <v>21000</v>
      </c>
      <c r="F455" s="1">
        <v>0</v>
      </c>
      <c r="G455" s="4">
        <v>46032</v>
      </c>
      <c r="H455" s="4">
        <v>46038</v>
      </c>
      <c r="I455" s="4">
        <v>46040</v>
      </c>
      <c r="J455" s="4"/>
      <c r="K455" s="1" t="s">
        <v>63</v>
      </c>
      <c r="L455" s="1" t="str">
        <f t="shared" si="7"/>
        <v>Online</v>
      </c>
      <c r="M455" s="1"/>
      <c r="N455" s="1"/>
      <c r="O455" s="1"/>
      <c r="P455" s="1"/>
      <c r="Q455" s="1"/>
      <c r="R455" s="1"/>
      <c r="S455" s="1"/>
    </row>
    <row r="456" spans="1:19" ht="23" customHeight="1">
      <c r="A456" s="1" t="s">
        <v>513</v>
      </c>
      <c r="B456" s="4">
        <v>46109</v>
      </c>
      <c r="C456" s="1" t="s">
        <v>18</v>
      </c>
      <c r="D456" s="1" t="s">
        <v>65</v>
      </c>
      <c r="E456" s="5">
        <v>22000</v>
      </c>
      <c r="F456" s="1">
        <v>1</v>
      </c>
      <c r="G456" s="4"/>
      <c r="H456" s="4"/>
      <c r="I456" s="4"/>
      <c r="J456" s="4"/>
      <c r="K456" s="1" t="s">
        <v>69</v>
      </c>
      <c r="L456" s="1" t="str">
        <f t="shared" si="7"/>
        <v>Branch</v>
      </c>
      <c r="M456" s="1"/>
      <c r="N456" s="1"/>
      <c r="O456" s="1"/>
      <c r="P456" s="1"/>
      <c r="Q456" s="1"/>
      <c r="R456" s="1"/>
      <c r="S456" s="1"/>
    </row>
    <row r="457" spans="1:19" ht="23" customHeight="1">
      <c r="A457" s="1" t="s">
        <v>514</v>
      </c>
      <c r="B457" s="4">
        <v>46024</v>
      </c>
      <c r="C457" s="1" t="s">
        <v>18</v>
      </c>
      <c r="D457" s="1" t="s">
        <v>65</v>
      </c>
      <c r="E457" s="5">
        <v>7000</v>
      </c>
      <c r="F457" s="1">
        <v>0</v>
      </c>
      <c r="G457" s="4">
        <v>46025</v>
      </c>
      <c r="H457" s="4">
        <v>46028</v>
      </c>
      <c r="I457" s="4">
        <v>46029</v>
      </c>
      <c r="J457" s="4"/>
      <c r="K457" s="1" t="s">
        <v>55</v>
      </c>
      <c r="L457" s="1" t="str">
        <f t="shared" si="7"/>
        <v>Branch</v>
      </c>
      <c r="M457" s="1"/>
      <c r="N457" s="1"/>
      <c r="O457" s="1"/>
      <c r="P457" s="1"/>
      <c r="Q457" s="1"/>
      <c r="R457" s="1"/>
      <c r="S457" s="1"/>
    </row>
    <row r="458" spans="1:19" ht="23" customHeight="1">
      <c r="A458" s="1" t="s">
        <v>515</v>
      </c>
      <c r="B458" s="4">
        <v>46025</v>
      </c>
      <c r="C458" s="1" t="s">
        <v>18</v>
      </c>
      <c r="D458" s="1" t="s">
        <v>65</v>
      </c>
      <c r="E458" s="5">
        <v>8000</v>
      </c>
      <c r="F458" s="1">
        <v>0</v>
      </c>
      <c r="G458" s="4">
        <v>46027</v>
      </c>
      <c r="H458" s="4">
        <v>46028</v>
      </c>
      <c r="I458" s="4">
        <v>46031</v>
      </c>
      <c r="J458" s="4"/>
      <c r="K458" s="1" t="s">
        <v>55</v>
      </c>
      <c r="L458" s="1" t="str">
        <f t="shared" si="7"/>
        <v>Branch</v>
      </c>
      <c r="M458" s="1"/>
      <c r="N458" s="1"/>
      <c r="O458" s="1"/>
      <c r="P458" s="1"/>
      <c r="Q458" s="1"/>
      <c r="R458" s="1"/>
      <c r="S458" s="1"/>
    </row>
    <row r="459" spans="1:19" ht="23" customHeight="1">
      <c r="A459" s="1" t="s">
        <v>516</v>
      </c>
      <c r="B459" s="4">
        <v>46042</v>
      </c>
      <c r="C459" s="1" t="s">
        <v>19</v>
      </c>
      <c r="D459" s="1" t="s">
        <v>54</v>
      </c>
      <c r="E459" s="5">
        <v>50000</v>
      </c>
      <c r="F459" s="1">
        <v>0</v>
      </c>
      <c r="G459" s="4">
        <v>46044</v>
      </c>
      <c r="H459" s="4">
        <v>46048</v>
      </c>
      <c r="I459" s="4">
        <v>46050</v>
      </c>
      <c r="J459" s="4"/>
      <c r="K459" s="1" t="s">
        <v>55</v>
      </c>
      <c r="L459" s="1" t="str">
        <f t="shared" si="7"/>
        <v>Online</v>
      </c>
      <c r="M459" s="1"/>
      <c r="N459" s="1"/>
      <c r="O459" s="1"/>
      <c r="P459" s="1"/>
      <c r="Q459" s="1"/>
      <c r="R459" s="1"/>
      <c r="S459" s="1"/>
    </row>
    <row r="460" spans="1:19" ht="23" customHeight="1">
      <c r="A460" s="1" t="s">
        <v>517</v>
      </c>
      <c r="B460" s="4">
        <v>46051</v>
      </c>
      <c r="C460" s="1" t="s">
        <v>18</v>
      </c>
      <c r="D460" s="1" t="s">
        <v>62</v>
      </c>
      <c r="E460" s="5">
        <v>18000</v>
      </c>
      <c r="F460" s="1">
        <v>1</v>
      </c>
      <c r="G460" s="4">
        <v>46057</v>
      </c>
      <c r="H460" s="4">
        <v>46060</v>
      </c>
      <c r="I460" s="4">
        <v>46061</v>
      </c>
      <c r="J460" s="4"/>
      <c r="K460" s="1" t="s">
        <v>55</v>
      </c>
      <c r="L460" s="1" t="str">
        <f t="shared" si="7"/>
        <v>Branch</v>
      </c>
      <c r="M460" s="1"/>
      <c r="N460" s="1"/>
      <c r="O460" s="1"/>
      <c r="P460" s="1"/>
      <c r="Q460" s="1"/>
      <c r="R460" s="1"/>
      <c r="S460" s="1"/>
    </row>
    <row r="461" spans="1:19" ht="23" customHeight="1">
      <c r="A461" s="1" t="s">
        <v>518</v>
      </c>
      <c r="B461" s="4">
        <v>46074</v>
      </c>
      <c r="C461" s="1" t="s">
        <v>19</v>
      </c>
      <c r="D461" s="1" t="s">
        <v>54</v>
      </c>
      <c r="E461" s="5">
        <v>43000</v>
      </c>
      <c r="F461" s="1">
        <v>0</v>
      </c>
      <c r="G461" s="4">
        <v>46076</v>
      </c>
      <c r="H461" s="4">
        <v>46078</v>
      </c>
      <c r="I461" s="4">
        <v>46079</v>
      </c>
      <c r="J461" s="4"/>
      <c r="K461" s="1" t="s">
        <v>55</v>
      </c>
      <c r="L461" s="1" t="str">
        <f t="shared" si="7"/>
        <v>Online</v>
      </c>
      <c r="M461" s="1"/>
      <c r="N461" s="1"/>
      <c r="O461" s="1"/>
      <c r="P461" s="1"/>
      <c r="Q461" s="1"/>
      <c r="R461" s="1"/>
      <c r="S461" s="1"/>
    </row>
    <row r="462" spans="1:19" ht="23" customHeight="1">
      <c r="A462" s="1" t="s">
        <v>519</v>
      </c>
      <c r="B462" s="4">
        <v>46047</v>
      </c>
      <c r="C462" s="1" t="s">
        <v>18</v>
      </c>
      <c r="D462" s="1" t="s">
        <v>62</v>
      </c>
      <c r="E462" s="5">
        <v>48000</v>
      </c>
      <c r="F462" s="1">
        <v>0</v>
      </c>
      <c r="G462" s="4">
        <v>46048</v>
      </c>
      <c r="H462" s="4">
        <v>46055</v>
      </c>
      <c r="I462" s="4">
        <v>46058</v>
      </c>
      <c r="J462" s="4"/>
      <c r="K462" s="1" t="s">
        <v>55</v>
      </c>
      <c r="L462" s="1" t="str">
        <f t="shared" si="7"/>
        <v>Branch</v>
      </c>
      <c r="M462" s="1"/>
      <c r="N462" s="1"/>
      <c r="O462" s="1"/>
      <c r="P462" s="1"/>
      <c r="Q462" s="1"/>
      <c r="R462" s="1"/>
      <c r="S462" s="1"/>
    </row>
    <row r="463" spans="1:19" ht="23" customHeight="1">
      <c r="A463" s="1" t="s">
        <v>520</v>
      </c>
      <c r="B463" s="4">
        <v>46094</v>
      </c>
      <c r="C463" s="1" t="s">
        <v>19</v>
      </c>
      <c r="D463" s="1" t="s">
        <v>54</v>
      </c>
      <c r="E463" s="5">
        <v>41000</v>
      </c>
      <c r="F463" s="1">
        <v>1</v>
      </c>
      <c r="G463" s="4"/>
      <c r="H463" s="4"/>
      <c r="I463" s="4"/>
      <c r="J463" s="4">
        <v>46099</v>
      </c>
      <c r="K463" s="1" t="s">
        <v>86</v>
      </c>
      <c r="L463" s="1" t="str">
        <f t="shared" si="7"/>
        <v>Online</v>
      </c>
      <c r="M463" s="1"/>
      <c r="N463" s="1"/>
      <c r="O463" s="1"/>
      <c r="P463" s="1"/>
      <c r="Q463" s="1"/>
      <c r="R463" s="1"/>
      <c r="S463" s="1"/>
    </row>
    <row r="464" spans="1:19" ht="23" customHeight="1">
      <c r="A464" s="1" t="s">
        <v>521</v>
      </c>
      <c r="B464" s="4">
        <v>46066</v>
      </c>
      <c r="C464" s="1" t="s">
        <v>18</v>
      </c>
      <c r="D464" s="1" t="s">
        <v>59</v>
      </c>
      <c r="E464" s="5">
        <v>18000</v>
      </c>
      <c r="F464" s="1">
        <v>1</v>
      </c>
      <c r="G464" s="4">
        <v>46069</v>
      </c>
      <c r="H464" s="4">
        <v>46071</v>
      </c>
      <c r="I464" s="4">
        <v>46074</v>
      </c>
      <c r="J464" s="4"/>
      <c r="K464" s="1" t="s">
        <v>55</v>
      </c>
      <c r="L464" s="1" t="str">
        <f t="shared" si="7"/>
        <v>Branch</v>
      </c>
      <c r="M464" s="1"/>
      <c r="N464" s="1"/>
      <c r="O464" s="1"/>
      <c r="P464" s="1"/>
      <c r="Q464" s="1"/>
      <c r="R464" s="1"/>
      <c r="S464" s="1"/>
    </row>
    <row r="465" spans="1:19" ht="23" customHeight="1">
      <c r="A465" s="1" t="s">
        <v>522</v>
      </c>
      <c r="B465" s="4">
        <v>46052</v>
      </c>
      <c r="C465" s="1" t="s">
        <v>19</v>
      </c>
      <c r="D465" s="1" t="s">
        <v>54</v>
      </c>
      <c r="E465" s="5">
        <v>50000</v>
      </c>
      <c r="F465" s="1">
        <v>0</v>
      </c>
      <c r="G465" s="4">
        <v>46052</v>
      </c>
      <c r="H465" s="4">
        <v>46053</v>
      </c>
      <c r="I465" s="4">
        <v>46054</v>
      </c>
      <c r="J465" s="4"/>
      <c r="K465" s="1" t="s">
        <v>63</v>
      </c>
      <c r="L465" s="1" t="str">
        <f t="shared" si="7"/>
        <v>Online</v>
      </c>
      <c r="M465" s="1"/>
      <c r="N465" s="1"/>
      <c r="O465" s="1"/>
      <c r="P465" s="1"/>
      <c r="Q465" s="1"/>
      <c r="R465" s="1"/>
      <c r="S465" s="1"/>
    </row>
    <row r="466" spans="1:19" ht="23" customHeight="1">
      <c r="A466" s="1" t="s">
        <v>523</v>
      </c>
      <c r="B466" s="4">
        <v>46027</v>
      </c>
      <c r="C466" s="1" t="s">
        <v>19</v>
      </c>
      <c r="D466" s="1" t="s">
        <v>54</v>
      </c>
      <c r="E466" s="5">
        <v>42000</v>
      </c>
      <c r="F466" s="1">
        <v>0</v>
      </c>
      <c r="G466" s="4">
        <v>46027</v>
      </c>
      <c r="H466" s="4">
        <v>46033</v>
      </c>
      <c r="I466" s="4">
        <v>46034</v>
      </c>
      <c r="J466" s="4"/>
      <c r="K466" s="1" t="s">
        <v>55</v>
      </c>
      <c r="L466" s="1" t="str">
        <f t="shared" si="7"/>
        <v>Online</v>
      </c>
      <c r="M466" s="1"/>
      <c r="N466" s="1"/>
      <c r="O466" s="1"/>
      <c r="P466" s="1"/>
      <c r="Q466" s="1"/>
      <c r="R466" s="1"/>
      <c r="S466" s="1"/>
    </row>
    <row r="467" spans="1:19" ht="23" customHeight="1">
      <c r="A467" s="1" t="s">
        <v>524</v>
      </c>
      <c r="B467" s="4">
        <v>46095</v>
      </c>
      <c r="C467" s="1" t="s">
        <v>19</v>
      </c>
      <c r="D467" s="1" t="s">
        <v>54</v>
      </c>
      <c r="E467" s="5">
        <v>25000</v>
      </c>
      <c r="F467" s="1">
        <v>0</v>
      </c>
      <c r="G467" s="4">
        <v>46096</v>
      </c>
      <c r="H467" s="4">
        <v>46100</v>
      </c>
      <c r="I467" s="4">
        <v>46103</v>
      </c>
      <c r="J467" s="4"/>
      <c r="K467" s="1" t="s">
        <v>63</v>
      </c>
      <c r="L467" s="1" t="str">
        <f t="shared" si="7"/>
        <v>Online</v>
      </c>
      <c r="M467" s="1"/>
      <c r="N467" s="1"/>
      <c r="O467" s="1"/>
      <c r="P467" s="1"/>
      <c r="Q467" s="1"/>
      <c r="R467" s="1"/>
      <c r="S467" s="1"/>
    </row>
    <row r="468" spans="1:19" ht="23" customHeight="1">
      <c r="A468" s="1" t="s">
        <v>525</v>
      </c>
      <c r="B468" s="4">
        <v>46035</v>
      </c>
      <c r="C468" s="1" t="s">
        <v>19</v>
      </c>
      <c r="D468" s="1" t="s">
        <v>54</v>
      </c>
      <c r="E468" s="5">
        <v>11000</v>
      </c>
      <c r="F468" s="1">
        <v>0</v>
      </c>
      <c r="G468" s="4">
        <v>46037</v>
      </c>
      <c r="H468" s="4">
        <v>46039</v>
      </c>
      <c r="I468" s="4">
        <v>46042</v>
      </c>
      <c r="J468" s="4"/>
      <c r="K468" s="1" t="s">
        <v>55</v>
      </c>
      <c r="L468" s="1" t="str">
        <f t="shared" si="7"/>
        <v>Online</v>
      </c>
      <c r="M468" s="1"/>
      <c r="N468" s="1"/>
      <c r="O468" s="1"/>
      <c r="P468" s="1"/>
      <c r="Q468" s="1"/>
      <c r="R468" s="1"/>
      <c r="S468" s="1"/>
    </row>
    <row r="469" spans="1:19" ht="23" customHeight="1">
      <c r="A469" s="1" t="s">
        <v>526</v>
      </c>
      <c r="B469" s="4">
        <v>46060</v>
      </c>
      <c r="C469" s="1" t="s">
        <v>19</v>
      </c>
      <c r="D469" s="1" t="s">
        <v>54</v>
      </c>
      <c r="E469" s="5">
        <v>13000</v>
      </c>
      <c r="F469" s="1">
        <v>1</v>
      </c>
      <c r="G469" s="4">
        <v>46065</v>
      </c>
      <c r="H469" s="4">
        <v>46070</v>
      </c>
      <c r="I469" s="4">
        <v>46073</v>
      </c>
      <c r="J469" s="4"/>
      <c r="K469" s="1" t="s">
        <v>55</v>
      </c>
      <c r="L469" s="1" t="str">
        <f t="shared" si="7"/>
        <v>Online</v>
      </c>
      <c r="M469" s="1"/>
      <c r="N469" s="1"/>
      <c r="O469" s="1"/>
      <c r="P469" s="1"/>
      <c r="Q469" s="1"/>
      <c r="R469" s="1"/>
      <c r="S469" s="1"/>
    </row>
    <row r="470" spans="1:19" ht="23" customHeight="1">
      <c r="A470" s="1" t="s">
        <v>527</v>
      </c>
      <c r="B470" s="4">
        <v>46073</v>
      </c>
      <c r="C470" s="1" t="s">
        <v>19</v>
      </c>
      <c r="D470" s="1" t="s">
        <v>54</v>
      </c>
      <c r="E470" s="5">
        <v>16000</v>
      </c>
      <c r="F470" s="1">
        <v>1</v>
      </c>
      <c r="G470" s="4">
        <v>46080</v>
      </c>
      <c r="H470" s="4">
        <v>46084</v>
      </c>
      <c r="I470" s="4">
        <v>46087</v>
      </c>
      <c r="J470" s="4"/>
      <c r="K470" s="1" t="s">
        <v>63</v>
      </c>
      <c r="L470" s="1" t="str">
        <f t="shared" si="7"/>
        <v>Online</v>
      </c>
      <c r="M470" s="1"/>
      <c r="N470" s="1"/>
      <c r="O470" s="1"/>
      <c r="P470" s="1"/>
      <c r="Q470" s="1"/>
      <c r="R470" s="1"/>
      <c r="S470" s="1"/>
    </row>
    <row r="471" spans="1:19" ht="23" customHeight="1">
      <c r="A471" s="1" t="s">
        <v>528</v>
      </c>
      <c r="B471" s="4">
        <v>46067</v>
      </c>
      <c r="C471" s="1" t="s">
        <v>19</v>
      </c>
      <c r="D471" s="1" t="s">
        <v>54</v>
      </c>
      <c r="E471" s="5">
        <v>25000</v>
      </c>
      <c r="F471" s="1">
        <v>1</v>
      </c>
      <c r="G471" s="4">
        <v>46077</v>
      </c>
      <c r="H471" s="4">
        <v>46083</v>
      </c>
      <c r="I471" s="4">
        <v>46086</v>
      </c>
      <c r="J471" s="4"/>
      <c r="K471" s="1" t="s">
        <v>63</v>
      </c>
      <c r="L471" s="1" t="str">
        <f t="shared" si="7"/>
        <v>Online</v>
      </c>
      <c r="M471" s="1"/>
      <c r="N471" s="1"/>
      <c r="O471" s="1"/>
      <c r="P471" s="1"/>
      <c r="Q471" s="1"/>
      <c r="R471" s="1"/>
      <c r="S471" s="1"/>
    </row>
    <row r="472" spans="1:19" ht="23" customHeight="1">
      <c r="A472" s="1" t="s">
        <v>529</v>
      </c>
      <c r="B472" s="4">
        <v>46092</v>
      </c>
      <c r="C472" s="1" t="s">
        <v>18</v>
      </c>
      <c r="D472" s="1" t="s">
        <v>62</v>
      </c>
      <c r="E472" s="5">
        <v>27000</v>
      </c>
      <c r="F472" s="1">
        <v>0</v>
      </c>
      <c r="G472" s="4">
        <v>46094</v>
      </c>
      <c r="H472" s="4">
        <v>46101</v>
      </c>
      <c r="I472" s="4">
        <v>46103</v>
      </c>
      <c r="J472" s="4"/>
      <c r="K472" s="1" t="s">
        <v>55</v>
      </c>
      <c r="L472" s="1" t="str">
        <f t="shared" si="7"/>
        <v>Branch</v>
      </c>
      <c r="M472" s="1"/>
      <c r="N472" s="1"/>
      <c r="O472" s="1"/>
      <c r="P472" s="1"/>
      <c r="Q472" s="1"/>
      <c r="R472" s="1"/>
      <c r="S472" s="1"/>
    </row>
    <row r="473" spans="1:19" ht="23" customHeight="1">
      <c r="A473" s="1" t="s">
        <v>530</v>
      </c>
      <c r="B473" s="4">
        <v>46057</v>
      </c>
      <c r="C473" s="1" t="s">
        <v>18</v>
      </c>
      <c r="D473" s="1" t="s">
        <v>59</v>
      </c>
      <c r="E473" s="5">
        <v>6000</v>
      </c>
      <c r="F473" s="1">
        <v>0</v>
      </c>
      <c r="G473" s="4">
        <v>46058</v>
      </c>
      <c r="H473" s="4">
        <v>46059</v>
      </c>
      <c r="I473" s="4">
        <v>46060</v>
      </c>
      <c r="J473" s="4"/>
      <c r="K473" s="1" t="s">
        <v>55</v>
      </c>
      <c r="L473" s="1" t="str">
        <f t="shared" si="7"/>
        <v>Branch</v>
      </c>
      <c r="M473" s="1"/>
      <c r="N473" s="1"/>
      <c r="O473" s="1"/>
      <c r="P473" s="1"/>
      <c r="Q473" s="1"/>
      <c r="R473" s="1"/>
      <c r="S473" s="1"/>
    </row>
    <row r="474" spans="1:19" ht="23" customHeight="1">
      <c r="A474" s="1" t="s">
        <v>531</v>
      </c>
      <c r="B474" s="4">
        <v>46073</v>
      </c>
      <c r="C474" s="1" t="s">
        <v>18</v>
      </c>
      <c r="D474" s="1" t="s">
        <v>71</v>
      </c>
      <c r="E474" s="5">
        <v>34000</v>
      </c>
      <c r="F474" s="1">
        <v>0</v>
      </c>
      <c r="G474" s="4">
        <v>46074</v>
      </c>
      <c r="H474" s="4">
        <v>46079</v>
      </c>
      <c r="I474" s="4">
        <v>46081</v>
      </c>
      <c r="J474" s="4"/>
      <c r="K474" s="1" t="s">
        <v>55</v>
      </c>
      <c r="L474" s="1" t="str">
        <f t="shared" si="7"/>
        <v>Branch</v>
      </c>
      <c r="M474" s="1"/>
      <c r="N474" s="1"/>
      <c r="O474" s="1"/>
      <c r="P474" s="1"/>
      <c r="Q474" s="1"/>
      <c r="R474" s="1"/>
      <c r="S474" s="1"/>
    </row>
    <row r="475" spans="1:19" ht="23" customHeight="1">
      <c r="A475" s="1" t="s">
        <v>532</v>
      </c>
      <c r="B475" s="4">
        <v>46092</v>
      </c>
      <c r="C475" s="1" t="s">
        <v>19</v>
      </c>
      <c r="D475" s="1" t="s">
        <v>54</v>
      </c>
      <c r="E475" s="5">
        <v>7000</v>
      </c>
      <c r="F475" s="1">
        <v>1</v>
      </c>
      <c r="G475" s="4">
        <v>46095</v>
      </c>
      <c r="H475" s="4">
        <v>46099</v>
      </c>
      <c r="I475" s="4">
        <v>46101</v>
      </c>
      <c r="J475" s="4"/>
      <c r="K475" s="1" t="s">
        <v>63</v>
      </c>
      <c r="L475" s="1" t="str">
        <f t="shared" si="7"/>
        <v>Online</v>
      </c>
      <c r="M475" s="1"/>
      <c r="N475" s="1"/>
      <c r="O475" s="1"/>
      <c r="P475" s="1"/>
      <c r="Q475" s="1"/>
      <c r="R475" s="1"/>
      <c r="S475" s="1"/>
    </row>
    <row r="476" spans="1:19" ht="23" customHeight="1">
      <c r="A476" s="1" t="s">
        <v>533</v>
      </c>
      <c r="B476" s="4">
        <v>46074</v>
      </c>
      <c r="C476" s="1" t="s">
        <v>19</v>
      </c>
      <c r="D476" s="1" t="s">
        <v>54</v>
      </c>
      <c r="E476" s="5">
        <v>8000</v>
      </c>
      <c r="F476" s="1">
        <v>1</v>
      </c>
      <c r="G476" s="4">
        <v>46080</v>
      </c>
      <c r="H476" s="4">
        <v>46083</v>
      </c>
      <c r="I476" s="4">
        <v>46084</v>
      </c>
      <c r="J476" s="4"/>
      <c r="K476" s="1" t="s">
        <v>55</v>
      </c>
      <c r="L476" s="1" t="str">
        <f t="shared" si="7"/>
        <v>Online</v>
      </c>
      <c r="M476" s="1"/>
      <c r="N476" s="1"/>
      <c r="O476" s="1"/>
      <c r="P476" s="1"/>
      <c r="Q476" s="1"/>
      <c r="R476" s="1"/>
      <c r="S476" s="1"/>
    </row>
    <row r="477" spans="1:19" ht="23" customHeight="1">
      <c r="A477" s="1" t="s">
        <v>534</v>
      </c>
      <c r="B477" s="4">
        <v>46050</v>
      </c>
      <c r="C477" s="1" t="s">
        <v>18</v>
      </c>
      <c r="D477" s="1" t="s">
        <v>59</v>
      </c>
      <c r="E477" s="5">
        <v>33000</v>
      </c>
      <c r="F477" s="1">
        <v>0</v>
      </c>
      <c r="G477" s="4">
        <v>46050</v>
      </c>
      <c r="H477" s="4">
        <v>46055</v>
      </c>
      <c r="I477" s="4">
        <v>46058</v>
      </c>
      <c r="J477" s="4"/>
      <c r="K477" s="1" t="s">
        <v>63</v>
      </c>
      <c r="L477" s="1" t="str">
        <f t="shared" si="7"/>
        <v>Branch</v>
      </c>
      <c r="M477" s="1"/>
      <c r="N477" s="1"/>
      <c r="O477" s="1"/>
      <c r="P477" s="1"/>
      <c r="Q477" s="1"/>
      <c r="R477" s="1"/>
      <c r="S477" s="1"/>
    </row>
    <row r="478" spans="1:19" ht="23" customHeight="1">
      <c r="A478" s="1" t="s">
        <v>535</v>
      </c>
      <c r="B478" s="4">
        <v>46048</v>
      </c>
      <c r="C478" s="1" t="s">
        <v>18</v>
      </c>
      <c r="D478" s="1" t="s">
        <v>62</v>
      </c>
      <c r="E478" s="5">
        <v>11000</v>
      </c>
      <c r="F478" s="1">
        <v>1</v>
      </c>
      <c r="G478" s="4">
        <v>46057</v>
      </c>
      <c r="H478" s="4">
        <v>46062</v>
      </c>
      <c r="I478" s="4">
        <v>46064</v>
      </c>
      <c r="J478" s="4"/>
      <c r="K478" s="1" t="s">
        <v>55</v>
      </c>
      <c r="L478" s="1" t="str">
        <f t="shared" si="7"/>
        <v>Branch</v>
      </c>
      <c r="M478" s="1"/>
      <c r="N478" s="1"/>
      <c r="O478" s="1"/>
      <c r="P478" s="1"/>
      <c r="Q478" s="1"/>
      <c r="R478" s="1"/>
      <c r="S478" s="1"/>
    </row>
    <row r="479" spans="1:19" ht="23" customHeight="1">
      <c r="A479" s="1" t="s">
        <v>536</v>
      </c>
      <c r="B479" s="4">
        <v>46097</v>
      </c>
      <c r="C479" s="1" t="s">
        <v>19</v>
      </c>
      <c r="D479" s="1" t="s">
        <v>54</v>
      </c>
      <c r="E479" s="5">
        <v>50000</v>
      </c>
      <c r="F479" s="1">
        <v>0</v>
      </c>
      <c r="G479" s="4">
        <v>46098</v>
      </c>
      <c r="H479" s="4">
        <v>46104</v>
      </c>
      <c r="I479" s="4">
        <v>46106</v>
      </c>
      <c r="J479" s="4"/>
      <c r="K479" s="1" t="s">
        <v>55</v>
      </c>
      <c r="L479" s="1" t="str">
        <f t="shared" si="7"/>
        <v>Online</v>
      </c>
      <c r="M479" s="1"/>
      <c r="N479" s="1"/>
      <c r="O479" s="1"/>
      <c r="P479" s="1"/>
      <c r="Q479" s="1"/>
      <c r="R479" s="1"/>
      <c r="S479" s="1"/>
    </row>
    <row r="480" spans="1:19" ht="23" customHeight="1">
      <c r="A480" s="1" t="s">
        <v>537</v>
      </c>
      <c r="B480" s="4">
        <v>46028</v>
      </c>
      <c r="C480" s="1" t="s">
        <v>19</v>
      </c>
      <c r="D480" s="1" t="s">
        <v>54</v>
      </c>
      <c r="E480" s="5">
        <v>45000</v>
      </c>
      <c r="F480" s="1">
        <v>1</v>
      </c>
      <c r="G480" s="4">
        <v>46037</v>
      </c>
      <c r="H480" s="4">
        <v>46041</v>
      </c>
      <c r="I480" s="4">
        <v>46043</v>
      </c>
      <c r="J480" s="4"/>
      <c r="K480" s="1" t="s">
        <v>63</v>
      </c>
      <c r="L480" s="1" t="str">
        <f t="shared" si="7"/>
        <v>Online</v>
      </c>
      <c r="M480" s="1"/>
      <c r="N480" s="1"/>
      <c r="O480" s="1"/>
      <c r="P480" s="1"/>
      <c r="Q480" s="1"/>
      <c r="R480" s="1"/>
      <c r="S480" s="1"/>
    </row>
    <row r="481" spans="1:19" ht="23" customHeight="1">
      <c r="A481" s="1" t="s">
        <v>538</v>
      </c>
      <c r="B481" s="4">
        <v>46062</v>
      </c>
      <c r="C481" s="1" t="s">
        <v>18</v>
      </c>
      <c r="D481" s="1" t="s">
        <v>62</v>
      </c>
      <c r="E481" s="5">
        <v>9000</v>
      </c>
      <c r="F481" s="1">
        <v>0</v>
      </c>
      <c r="G481" s="4">
        <v>46063</v>
      </c>
      <c r="H481" s="4">
        <v>46070</v>
      </c>
      <c r="I481" s="4">
        <v>46071</v>
      </c>
      <c r="J481" s="4"/>
      <c r="K481" s="1" t="s">
        <v>63</v>
      </c>
      <c r="L481" s="1" t="str">
        <f t="shared" si="7"/>
        <v>Branch</v>
      </c>
      <c r="M481" s="1"/>
      <c r="N481" s="1"/>
      <c r="O481" s="1"/>
      <c r="P481" s="1"/>
      <c r="Q481" s="1"/>
      <c r="R481" s="1"/>
      <c r="S481" s="1"/>
    </row>
    <row r="482" spans="1:19" ht="23" customHeight="1">
      <c r="A482" s="1" t="s">
        <v>539</v>
      </c>
      <c r="B482" s="4">
        <v>46056</v>
      </c>
      <c r="C482" s="1" t="s">
        <v>19</v>
      </c>
      <c r="D482" s="1" t="s">
        <v>54</v>
      </c>
      <c r="E482" s="5">
        <v>35000</v>
      </c>
      <c r="F482" s="1">
        <v>0</v>
      </c>
      <c r="G482" s="4">
        <v>46058</v>
      </c>
      <c r="H482" s="4">
        <v>46059</v>
      </c>
      <c r="I482" s="4">
        <v>46062</v>
      </c>
      <c r="J482" s="4"/>
      <c r="K482" s="1" t="s">
        <v>55</v>
      </c>
      <c r="L482" s="1" t="str">
        <f t="shared" si="7"/>
        <v>Online</v>
      </c>
      <c r="M482" s="1"/>
      <c r="N482" s="1"/>
      <c r="O482" s="1"/>
      <c r="P482" s="1"/>
      <c r="Q482" s="1"/>
      <c r="R482" s="1"/>
      <c r="S482" s="1"/>
    </row>
    <row r="483" spans="1:19" ht="23" customHeight="1">
      <c r="A483" s="1" t="s">
        <v>540</v>
      </c>
      <c r="B483" s="4">
        <v>46105</v>
      </c>
      <c r="C483" s="1" t="s">
        <v>18</v>
      </c>
      <c r="D483" s="1" t="s">
        <v>65</v>
      </c>
      <c r="E483" s="5">
        <v>35000</v>
      </c>
      <c r="F483" s="1">
        <v>0</v>
      </c>
      <c r="G483" s="4">
        <v>46106</v>
      </c>
      <c r="H483" s="4">
        <v>46108</v>
      </c>
      <c r="I483" s="4">
        <v>46111</v>
      </c>
      <c r="J483" s="4"/>
      <c r="K483" s="1" t="s">
        <v>63</v>
      </c>
      <c r="L483" s="1" t="str">
        <f t="shared" si="7"/>
        <v>Branch</v>
      </c>
      <c r="M483" s="1"/>
      <c r="N483" s="1"/>
      <c r="O483" s="1"/>
      <c r="P483" s="1"/>
      <c r="Q483" s="1"/>
      <c r="R483" s="1"/>
      <c r="S483" s="1"/>
    </row>
    <row r="484" spans="1:19" ht="23" customHeight="1">
      <c r="A484" s="1" t="s">
        <v>541</v>
      </c>
      <c r="B484" s="4">
        <v>46093</v>
      </c>
      <c r="C484" s="1" t="s">
        <v>19</v>
      </c>
      <c r="D484" s="1" t="s">
        <v>54</v>
      </c>
      <c r="E484" s="5">
        <v>22000</v>
      </c>
      <c r="F484" s="1">
        <v>0</v>
      </c>
      <c r="G484" s="4">
        <v>46095</v>
      </c>
      <c r="H484" s="4">
        <v>46097</v>
      </c>
      <c r="I484" s="4">
        <v>46100</v>
      </c>
      <c r="J484" s="4"/>
      <c r="K484" s="1" t="s">
        <v>63</v>
      </c>
      <c r="L484" s="1" t="str">
        <f t="shared" si="7"/>
        <v>Online</v>
      </c>
      <c r="M484" s="1"/>
      <c r="N484" s="1"/>
      <c r="O484" s="1"/>
      <c r="P484" s="1"/>
      <c r="Q484" s="1"/>
      <c r="R484" s="1"/>
      <c r="S484" s="1"/>
    </row>
    <row r="485" spans="1:19" ht="23" customHeight="1">
      <c r="A485" s="1" t="s">
        <v>542</v>
      </c>
      <c r="B485" s="4">
        <v>46095</v>
      </c>
      <c r="C485" s="1" t="s">
        <v>18</v>
      </c>
      <c r="D485" s="1" t="s">
        <v>59</v>
      </c>
      <c r="E485" s="5">
        <v>24000</v>
      </c>
      <c r="F485" s="1">
        <v>1</v>
      </c>
      <c r="G485" s="4">
        <v>46102</v>
      </c>
      <c r="H485" s="4">
        <v>46107</v>
      </c>
      <c r="I485" s="4">
        <v>46109</v>
      </c>
      <c r="J485" s="4"/>
      <c r="K485" s="1" t="s">
        <v>55</v>
      </c>
      <c r="L485" s="1" t="str">
        <f t="shared" si="7"/>
        <v>Branch</v>
      </c>
      <c r="M485" s="1"/>
      <c r="N485" s="1"/>
      <c r="O485" s="1"/>
      <c r="P485" s="1"/>
      <c r="Q485" s="1"/>
      <c r="R485" s="1"/>
      <c r="S485" s="1"/>
    </row>
    <row r="486" spans="1:19" ht="23" customHeight="1">
      <c r="A486" s="1" t="s">
        <v>543</v>
      </c>
      <c r="B486" s="4">
        <v>46045</v>
      </c>
      <c r="C486" s="1" t="s">
        <v>18</v>
      </c>
      <c r="D486" s="1" t="s">
        <v>62</v>
      </c>
      <c r="E486" s="5">
        <v>44000</v>
      </c>
      <c r="F486" s="1">
        <v>0</v>
      </c>
      <c r="G486" s="4">
        <v>46045</v>
      </c>
      <c r="H486" s="4">
        <v>46051</v>
      </c>
      <c r="I486" s="4">
        <v>46052</v>
      </c>
      <c r="J486" s="4"/>
      <c r="K486" s="1" t="s">
        <v>55</v>
      </c>
      <c r="L486" s="1" t="str">
        <f t="shared" si="7"/>
        <v>Branch</v>
      </c>
      <c r="M486" s="1"/>
      <c r="N486" s="1"/>
      <c r="O486" s="1"/>
      <c r="P486" s="1"/>
      <c r="Q486" s="1"/>
      <c r="R486" s="1"/>
      <c r="S486" s="1"/>
    </row>
    <row r="487" spans="1:19" ht="23" customHeight="1">
      <c r="A487" s="1" t="s">
        <v>544</v>
      </c>
      <c r="B487" s="4">
        <v>46039</v>
      </c>
      <c r="C487" s="1" t="s">
        <v>18</v>
      </c>
      <c r="D487" s="1" t="s">
        <v>65</v>
      </c>
      <c r="E487" s="5">
        <v>25000</v>
      </c>
      <c r="F487" s="1">
        <v>1</v>
      </c>
      <c r="G487" s="4"/>
      <c r="H487" s="4"/>
      <c r="I487" s="4"/>
      <c r="J487" s="4">
        <v>46045</v>
      </c>
      <c r="K487" s="1" t="s">
        <v>86</v>
      </c>
      <c r="L487" s="1" t="str">
        <f t="shared" si="7"/>
        <v>Branch</v>
      </c>
      <c r="M487" s="1"/>
      <c r="N487" s="1"/>
      <c r="O487" s="1"/>
      <c r="P487" s="1"/>
      <c r="Q487" s="1"/>
      <c r="R487" s="1"/>
      <c r="S487" s="1"/>
    </row>
    <row r="488" spans="1:19" ht="23" customHeight="1">
      <c r="A488" s="1" t="s">
        <v>545</v>
      </c>
      <c r="B488" s="4">
        <v>46041</v>
      </c>
      <c r="C488" s="1" t="s">
        <v>18</v>
      </c>
      <c r="D488" s="1" t="s">
        <v>71</v>
      </c>
      <c r="E488" s="5">
        <v>18000</v>
      </c>
      <c r="F488" s="1">
        <v>0</v>
      </c>
      <c r="G488" s="4">
        <v>46041</v>
      </c>
      <c r="H488" s="4">
        <v>46044</v>
      </c>
      <c r="I488" s="4">
        <v>46047</v>
      </c>
      <c r="J488" s="4"/>
      <c r="K488" s="1" t="s">
        <v>55</v>
      </c>
      <c r="L488" s="1" t="str">
        <f t="shared" si="7"/>
        <v>Branch</v>
      </c>
      <c r="M488" s="1"/>
      <c r="N488" s="1"/>
      <c r="O488" s="1"/>
      <c r="P488" s="1"/>
      <c r="Q488" s="1"/>
      <c r="R488" s="1"/>
      <c r="S488" s="1"/>
    </row>
    <row r="489" spans="1:19" ht="23" customHeight="1">
      <c r="A489" s="1" t="s">
        <v>546</v>
      </c>
      <c r="B489" s="4">
        <v>46096</v>
      </c>
      <c r="C489" s="1" t="s">
        <v>19</v>
      </c>
      <c r="D489" s="1" t="s">
        <v>54</v>
      </c>
      <c r="E489" s="5">
        <v>36000</v>
      </c>
      <c r="F489" s="1">
        <v>0</v>
      </c>
      <c r="G489" s="4">
        <v>46098</v>
      </c>
      <c r="H489" s="4">
        <v>46102</v>
      </c>
      <c r="I489" s="4">
        <v>46105</v>
      </c>
      <c r="J489" s="4"/>
      <c r="K489" s="1" t="s">
        <v>55</v>
      </c>
      <c r="L489" s="1" t="str">
        <f t="shared" si="7"/>
        <v>Online</v>
      </c>
      <c r="M489" s="1"/>
      <c r="N489" s="1"/>
      <c r="O489" s="1"/>
      <c r="P489" s="1"/>
      <c r="Q489" s="1"/>
      <c r="R489" s="1"/>
      <c r="S489" s="1"/>
    </row>
    <row r="490" spans="1:19" ht="23" customHeight="1">
      <c r="A490" s="1" t="s">
        <v>547</v>
      </c>
      <c r="B490" s="4">
        <v>46087</v>
      </c>
      <c r="C490" s="1" t="s">
        <v>19</v>
      </c>
      <c r="D490" s="1" t="s">
        <v>54</v>
      </c>
      <c r="E490" s="5">
        <v>11000</v>
      </c>
      <c r="F490" s="1">
        <v>1</v>
      </c>
      <c r="G490" s="4"/>
      <c r="H490" s="4"/>
      <c r="I490" s="4"/>
      <c r="J490" s="4">
        <v>46094</v>
      </c>
      <c r="K490" s="1" t="s">
        <v>86</v>
      </c>
      <c r="L490" s="1" t="str">
        <f t="shared" si="7"/>
        <v>Online</v>
      </c>
      <c r="M490" s="1"/>
      <c r="N490" s="1"/>
      <c r="O490" s="1"/>
      <c r="P490" s="1"/>
      <c r="Q490" s="1"/>
      <c r="R490" s="1"/>
      <c r="S490" s="1"/>
    </row>
    <row r="491" spans="1:19" ht="23" customHeight="1">
      <c r="A491" s="1" t="s">
        <v>548</v>
      </c>
      <c r="B491" s="4">
        <v>46073</v>
      </c>
      <c r="C491" s="1" t="s">
        <v>19</v>
      </c>
      <c r="D491" s="1" t="s">
        <v>54</v>
      </c>
      <c r="E491" s="5">
        <v>47000</v>
      </c>
      <c r="F491" s="1">
        <v>0</v>
      </c>
      <c r="G491" s="4">
        <v>46075</v>
      </c>
      <c r="H491" s="4">
        <v>46077</v>
      </c>
      <c r="I491" s="4">
        <v>46079</v>
      </c>
      <c r="J491" s="4"/>
      <c r="K491" s="1" t="s">
        <v>55</v>
      </c>
      <c r="L491" s="1" t="str">
        <f t="shared" si="7"/>
        <v>Online</v>
      </c>
      <c r="M491" s="1"/>
      <c r="N491" s="1"/>
      <c r="O491" s="1"/>
      <c r="P491" s="1"/>
      <c r="Q491" s="1"/>
      <c r="R491" s="1"/>
      <c r="S491" s="1"/>
    </row>
    <row r="492" spans="1:19" ht="23" customHeight="1">
      <c r="A492" s="1" t="s">
        <v>549</v>
      </c>
      <c r="B492" s="4">
        <v>46023</v>
      </c>
      <c r="C492" s="1" t="s">
        <v>19</v>
      </c>
      <c r="D492" s="1" t="s">
        <v>54</v>
      </c>
      <c r="E492" s="5">
        <v>16000</v>
      </c>
      <c r="F492" s="1">
        <v>0</v>
      </c>
      <c r="G492" s="4">
        <v>46024</v>
      </c>
      <c r="H492" s="4">
        <v>46030</v>
      </c>
      <c r="I492" s="4">
        <v>46033</v>
      </c>
      <c r="J492" s="4"/>
      <c r="K492" s="1" t="s">
        <v>63</v>
      </c>
      <c r="L492" s="1" t="str">
        <f t="shared" si="7"/>
        <v>Online</v>
      </c>
      <c r="M492" s="1"/>
      <c r="N492" s="1"/>
      <c r="O492" s="1"/>
      <c r="P492" s="1"/>
      <c r="Q492" s="1"/>
      <c r="R492" s="1"/>
      <c r="S492" s="1"/>
    </row>
    <row r="493" spans="1:19" ht="23" customHeight="1">
      <c r="A493" s="1" t="s">
        <v>550</v>
      </c>
      <c r="B493" s="4">
        <v>46094</v>
      </c>
      <c r="C493" s="1" t="s">
        <v>18</v>
      </c>
      <c r="D493" s="1" t="s">
        <v>62</v>
      </c>
      <c r="E493" s="5">
        <v>48000</v>
      </c>
      <c r="F493" s="1">
        <v>0</v>
      </c>
      <c r="G493" s="4">
        <v>46095</v>
      </c>
      <c r="H493" s="4">
        <v>46100</v>
      </c>
      <c r="I493" s="4">
        <v>46102</v>
      </c>
      <c r="J493" s="4"/>
      <c r="K493" s="1" t="s">
        <v>63</v>
      </c>
      <c r="L493" s="1" t="str">
        <f t="shared" si="7"/>
        <v>Branch</v>
      </c>
      <c r="M493" s="1"/>
      <c r="N493" s="1"/>
      <c r="O493" s="1"/>
      <c r="P493" s="1"/>
      <c r="Q493" s="1"/>
      <c r="R493" s="1"/>
      <c r="S493" s="1"/>
    </row>
    <row r="494" spans="1:19" ht="23" customHeight="1">
      <c r="A494" s="1" t="s">
        <v>551</v>
      </c>
      <c r="B494" s="4">
        <v>46044</v>
      </c>
      <c r="C494" s="1" t="s">
        <v>18</v>
      </c>
      <c r="D494" s="1" t="s">
        <v>62</v>
      </c>
      <c r="E494" s="5">
        <v>9000</v>
      </c>
      <c r="F494" s="1">
        <v>0</v>
      </c>
      <c r="G494" s="4">
        <v>46044</v>
      </c>
      <c r="H494" s="4">
        <v>46047</v>
      </c>
      <c r="I494" s="4">
        <v>46049</v>
      </c>
      <c r="J494" s="4"/>
      <c r="K494" s="1" t="s">
        <v>63</v>
      </c>
      <c r="L494" s="1" t="str">
        <f t="shared" si="7"/>
        <v>Branch</v>
      </c>
      <c r="M494" s="1"/>
      <c r="N494" s="1"/>
      <c r="O494" s="1"/>
      <c r="P494" s="1"/>
      <c r="Q494" s="1"/>
      <c r="R494" s="1"/>
      <c r="S494" s="1"/>
    </row>
    <row r="495" spans="1:19" ht="23" customHeight="1">
      <c r="A495" s="1" t="s">
        <v>552</v>
      </c>
      <c r="B495" s="4">
        <v>46061</v>
      </c>
      <c r="C495" s="1" t="s">
        <v>18</v>
      </c>
      <c r="D495" s="1" t="s">
        <v>59</v>
      </c>
      <c r="E495" s="5">
        <v>13000</v>
      </c>
      <c r="F495" s="1">
        <v>1</v>
      </c>
      <c r="G495" s="4">
        <v>46071</v>
      </c>
      <c r="H495" s="4">
        <v>46073</v>
      </c>
      <c r="I495" s="4">
        <v>46076</v>
      </c>
      <c r="J495" s="4"/>
      <c r="K495" s="1" t="s">
        <v>55</v>
      </c>
      <c r="L495" s="1" t="str">
        <f t="shared" si="7"/>
        <v>Branch</v>
      </c>
      <c r="M495" s="1"/>
      <c r="N495" s="1"/>
      <c r="O495" s="1"/>
      <c r="P495" s="1"/>
      <c r="Q495" s="1"/>
      <c r="R495" s="1"/>
      <c r="S495" s="1"/>
    </row>
    <row r="496" spans="1:19" ht="23" customHeight="1">
      <c r="A496" s="1" t="s">
        <v>553</v>
      </c>
      <c r="B496" s="4">
        <v>46064</v>
      </c>
      <c r="C496" s="1" t="s">
        <v>19</v>
      </c>
      <c r="D496" s="1" t="s">
        <v>54</v>
      </c>
      <c r="E496" s="5">
        <v>31000</v>
      </c>
      <c r="F496" s="1">
        <v>0</v>
      </c>
      <c r="G496" s="4">
        <v>46065</v>
      </c>
      <c r="H496" s="4">
        <v>46071</v>
      </c>
      <c r="I496" s="4">
        <v>46074</v>
      </c>
      <c r="J496" s="4"/>
      <c r="K496" s="1" t="s">
        <v>55</v>
      </c>
      <c r="L496" s="1" t="str">
        <f t="shared" si="7"/>
        <v>Online</v>
      </c>
      <c r="M496" s="1"/>
      <c r="N496" s="1"/>
      <c r="O496" s="1"/>
      <c r="P496" s="1"/>
      <c r="Q496" s="1"/>
      <c r="R496" s="1"/>
      <c r="S496" s="1"/>
    </row>
    <row r="497" spans="1:19" ht="23" customHeight="1">
      <c r="A497" s="1" t="s">
        <v>554</v>
      </c>
      <c r="B497" s="4">
        <v>46099</v>
      </c>
      <c r="C497" s="1" t="s">
        <v>18</v>
      </c>
      <c r="D497" s="1" t="s">
        <v>59</v>
      </c>
      <c r="E497" s="5">
        <v>47000</v>
      </c>
      <c r="F497" s="1">
        <v>1</v>
      </c>
      <c r="G497" s="4">
        <v>46104</v>
      </c>
      <c r="H497" s="4">
        <v>46107</v>
      </c>
      <c r="I497" s="4">
        <v>46108</v>
      </c>
      <c r="J497" s="4"/>
      <c r="K497" s="1" t="s">
        <v>55</v>
      </c>
      <c r="L497" s="1" t="str">
        <f t="shared" si="7"/>
        <v>Branch</v>
      </c>
      <c r="M497" s="1"/>
      <c r="N497" s="1"/>
      <c r="O497" s="1"/>
      <c r="P497" s="1"/>
      <c r="Q497" s="1"/>
      <c r="R497" s="1"/>
      <c r="S497" s="1"/>
    </row>
    <row r="498" spans="1:19" ht="23" customHeight="1">
      <c r="A498" s="1" t="s">
        <v>555</v>
      </c>
      <c r="B498" s="4">
        <v>46074</v>
      </c>
      <c r="C498" s="1" t="s">
        <v>19</v>
      </c>
      <c r="D498" s="1" t="s">
        <v>54</v>
      </c>
      <c r="E498" s="5">
        <v>39000</v>
      </c>
      <c r="F498" s="1">
        <v>0</v>
      </c>
      <c r="G498" s="4">
        <v>46075</v>
      </c>
      <c r="H498" s="4">
        <v>46081</v>
      </c>
      <c r="I498" s="4">
        <v>46084</v>
      </c>
      <c r="J498" s="4"/>
      <c r="K498" s="1" t="s">
        <v>55</v>
      </c>
      <c r="L498" s="1" t="str">
        <f t="shared" si="7"/>
        <v>Online</v>
      </c>
      <c r="M498" s="1"/>
      <c r="N498" s="1"/>
      <c r="O498" s="1"/>
      <c r="P498" s="1"/>
      <c r="Q498" s="1"/>
      <c r="R498" s="1"/>
      <c r="S498" s="1"/>
    </row>
    <row r="499" spans="1:19" ht="23" customHeight="1">
      <c r="A499" s="1" t="s">
        <v>556</v>
      </c>
      <c r="B499" s="4">
        <v>46084</v>
      </c>
      <c r="C499" s="1" t="s">
        <v>18</v>
      </c>
      <c r="D499" s="1" t="s">
        <v>59</v>
      </c>
      <c r="E499" s="5">
        <v>23000</v>
      </c>
      <c r="F499" s="1">
        <v>1</v>
      </c>
      <c r="G499" s="4"/>
      <c r="H499" s="4"/>
      <c r="I499" s="4"/>
      <c r="J499" s="4">
        <v>46089</v>
      </c>
      <c r="K499" s="1" t="s">
        <v>86</v>
      </c>
      <c r="L499" s="1" t="str">
        <f t="shared" si="7"/>
        <v>Branch</v>
      </c>
      <c r="M499" s="1"/>
      <c r="N499" s="1"/>
      <c r="O499" s="1"/>
      <c r="P499" s="1"/>
      <c r="Q499" s="1"/>
      <c r="R499" s="1"/>
      <c r="S499" s="1"/>
    </row>
    <row r="500" spans="1:19" ht="23" customHeight="1">
      <c r="A500" s="1" t="s">
        <v>557</v>
      </c>
      <c r="B500" s="4">
        <v>46036</v>
      </c>
      <c r="C500" s="1" t="s">
        <v>18</v>
      </c>
      <c r="D500" s="1" t="s">
        <v>65</v>
      </c>
      <c r="E500" s="5">
        <v>20000</v>
      </c>
      <c r="F500" s="1">
        <v>1</v>
      </c>
      <c r="G500" s="4">
        <v>46044</v>
      </c>
      <c r="H500" s="4">
        <v>46046</v>
      </c>
      <c r="I500" s="4">
        <v>46047</v>
      </c>
      <c r="J500" s="4"/>
      <c r="K500" s="1" t="s">
        <v>55</v>
      </c>
      <c r="L500" s="1" t="str">
        <f t="shared" si="7"/>
        <v>Branch</v>
      </c>
      <c r="M500" s="1"/>
      <c r="N500" s="1"/>
      <c r="O500" s="1"/>
      <c r="P500" s="1"/>
      <c r="Q500" s="1"/>
      <c r="R500" s="1"/>
      <c r="S500" s="1"/>
    </row>
    <row r="501" spans="1:19" ht="23" customHeight="1">
      <c r="A501" s="1" t="s">
        <v>558</v>
      </c>
      <c r="B501" s="4">
        <v>46033</v>
      </c>
      <c r="C501" s="1" t="s">
        <v>19</v>
      </c>
      <c r="D501" s="1" t="s">
        <v>54</v>
      </c>
      <c r="E501" s="5">
        <v>22000</v>
      </c>
      <c r="F501" s="1">
        <v>0</v>
      </c>
      <c r="G501" s="4">
        <v>46034</v>
      </c>
      <c r="H501" s="4">
        <v>46038</v>
      </c>
      <c r="I501" s="4">
        <v>46041</v>
      </c>
      <c r="J501" s="4"/>
      <c r="K501" s="1" t="s">
        <v>63</v>
      </c>
      <c r="L501" s="1" t="str">
        <f t="shared" si="7"/>
        <v>Online</v>
      </c>
      <c r="M501" s="1"/>
      <c r="N501" s="1"/>
      <c r="O501" s="1"/>
      <c r="P501" s="1"/>
      <c r="Q501" s="1"/>
      <c r="R501" s="1"/>
      <c r="S501" s="1"/>
    </row>
    <row r="502" spans="1:19" ht="23" customHeight="1">
      <c r="A502" s="1" t="s">
        <v>559</v>
      </c>
      <c r="B502" s="4">
        <v>46087</v>
      </c>
      <c r="C502" s="1" t="s">
        <v>19</v>
      </c>
      <c r="D502" s="1" t="s">
        <v>54</v>
      </c>
      <c r="E502" s="5">
        <v>39000</v>
      </c>
      <c r="F502" s="1">
        <v>0</v>
      </c>
      <c r="G502" s="4">
        <v>46089</v>
      </c>
      <c r="H502" s="4">
        <v>46094</v>
      </c>
      <c r="I502" s="4">
        <v>46096</v>
      </c>
      <c r="J502" s="4"/>
      <c r="K502" s="1" t="s">
        <v>55</v>
      </c>
      <c r="L502" s="1" t="str">
        <f t="shared" si="7"/>
        <v>Online</v>
      </c>
      <c r="M502" s="1"/>
      <c r="N502" s="1"/>
      <c r="O502" s="1"/>
      <c r="P502" s="1"/>
      <c r="Q502" s="1"/>
      <c r="R502" s="1"/>
      <c r="S502" s="1"/>
    </row>
    <row r="503" spans="1:19" ht="23" customHeight="1">
      <c r="A503" s="1" t="s">
        <v>560</v>
      </c>
      <c r="B503" s="4">
        <v>46031</v>
      </c>
      <c r="C503" s="1" t="s">
        <v>18</v>
      </c>
      <c r="D503" s="1" t="s">
        <v>65</v>
      </c>
      <c r="E503" s="5">
        <v>15000</v>
      </c>
      <c r="F503" s="1">
        <v>1</v>
      </c>
      <c r="G503" s="4">
        <v>46036</v>
      </c>
      <c r="H503" s="4">
        <v>46037</v>
      </c>
      <c r="I503" s="4">
        <v>46040</v>
      </c>
      <c r="J503" s="4"/>
      <c r="K503" s="1" t="s">
        <v>63</v>
      </c>
      <c r="L503" s="1" t="str">
        <f t="shared" si="7"/>
        <v>Branch</v>
      </c>
      <c r="M503" s="1"/>
      <c r="N503" s="1"/>
      <c r="O503" s="1"/>
      <c r="P503" s="1"/>
      <c r="Q503" s="1"/>
      <c r="R503" s="1"/>
      <c r="S503" s="1"/>
    </row>
    <row r="504" spans="1:19" ht="23" customHeight="1">
      <c r="A504" s="1" t="s">
        <v>561</v>
      </c>
      <c r="B504" s="4">
        <v>46039</v>
      </c>
      <c r="C504" s="1" t="s">
        <v>18</v>
      </c>
      <c r="D504" s="1" t="s">
        <v>71</v>
      </c>
      <c r="E504" s="5">
        <v>38000</v>
      </c>
      <c r="F504" s="1">
        <v>0</v>
      </c>
      <c r="G504" s="4">
        <v>46039</v>
      </c>
      <c r="H504" s="4">
        <v>46045</v>
      </c>
      <c r="I504" s="4">
        <v>46048</v>
      </c>
      <c r="J504" s="4"/>
      <c r="K504" s="1" t="s">
        <v>55</v>
      </c>
      <c r="L504" s="1" t="str">
        <f t="shared" si="7"/>
        <v>Branch</v>
      </c>
      <c r="M504" s="1"/>
      <c r="N504" s="1"/>
      <c r="O504" s="1"/>
      <c r="P504" s="1"/>
      <c r="Q504" s="1"/>
      <c r="R504" s="1"/>
      <c r="S504" s="1"/>
    </row>
    <row r="505" spans="1:19" ht="23" customHeight="1">
      <c r="A505" s="1" t="s">
        <v>562</v>
      </c>
      <c r="B505" s="4">
        <v>46041</v>
      </c>
      <c r="C505" s="1" t="s">
        <v>19</v>
      </c>
      <c r="D505" s="1" t="s">
        <v>54</v>
      </c>
      <c r="E505" s="5">
        <v>18000</v>
      </c>
      <c r="F505" s="1">
        <v>0</v>
      </c>
      <c r="G505" s="4">
        <v>46043</v>
      </c>
      <c r="H505" s="4">
        <v>46047</v>
      </c>
      <c r="I505" s="4">
        <v>46048</v>
      </c>
      <c r="J505" s="4"/>
      <c r="K505" s="1" t="s">
        <v>55</v>
      </c>
      <c r="L505" s="1" t="str">
        <f t="shared" si="7"/>
        <v>Online</v>
      </c>
      <c r="M505" s="1"/>
      <c r="N505" s="1"/>
      <c r="O505" s="1"/>
      <c r="P505" s="1"/>
      <c r="Q505" s="1"/>
      <c r="R505" s="1"/>
      <c r="S505" s="1"/>
    </row>
    <row r="506" spans="1:19" ht="23" customHeight="1">
      <c r="A506" s="1" t="s">
        <v>563</v>
      </c>
      <c r="B506" s="4">
        <v>46090</v>
      </c>
      <c r="C506" s="1" t="s">
        <v>18</v>
      </c>
      <c r="D506" s="1" t="s">
        <v>59</v>
      </c>
      <c r="E506" s="5">
        <v>45000</v>
      </c>
      <c r="F506" s="1">
        <v>0</v>
      </c>
      <c r="G506" s="4">
        <v>46091</v>
      </c>
      <c r="H506" s="4">
        <v>46093</v>
      </c>
      <c r="I506" s="4">
        <v>46094</v>
      </c>
      <c r="J506" s="4"/>
      <c r="K506" s="1" t="s">
        <v>55</v>
      </c>
      <c r="L506" s="1" t="str">
        <f t="shared" si="7"/>
        <v>Branch</v>
      </c>
      <c r="M506" s="1"/>
      <c r="N506" s="1"/>
      <c r="O506" s="1"/>
      <c r="P506" s="1"/>
      <c r="Q506" s="1"/>
      <c r="R506" s="1"/>
      <c r="S506" s="1"/>
    </row>
    <row r="507" spans="1:19" ht="23" customHeight="1">
      <c r="A507" s="1" t="s">
        <v>564</v>
      </c>
      <c r="B507" s="4">
        <v>46072</v>
      </c>
      <c r="C507" s="1" t="s">
        <v>19</v>
      </c>
      <c r="D507" s="1" t="s">
        <v>54</v>
      </c>
      <c r="E507" s="5">
        <v>7000</v>
      </c>
      <c r="F507" s="1">
        <v>0</v>
      </c>
      <c r="G507" s="4">
        <v>46074</v>
      </c>
      <c r="H507" s="4">
        <v>46078</v>
      </c>
      <c r="I507" s="4">
        <v>46081</v>
      </c>
      <c r="J507" s="4"/>
      <c r="K507" s="1" t="s">
        <v>55</v>
      </c>
      <c r="L507" s="1" t="str">
        <f t="shared" si="7"/>
        <v>Online</v>
      </c>
      <c r="M507" s="1"/>
      <c r="N507" s="1"/>
      <c r="O507" s="1"/>
      <c r="P507" s="1"/>
      <c r="Q507" s="1"/>
      <c r="R507" s="1"/>
      <c r="S507" s="1"/>
    </row>
    <row r="508" spans="1:19" ht="23" customHeight="1">
      <c r="A508" s="1" t="s">
        <v>565</v>
      </c>
      <c r="B508" s="4">
        <v>46095</v>
      </c>
      <c r="C508" s="1" t="s">
        <v>18</v>
      </c>
      <c r="D508" s="1" t="s">
        <v>62</v>
      </c>
      <c r="E508" s="5">
        <v>41000</v>
      </c>
      <c r="F508" s="1">
        <v>1</v>
      </c>
      <c r="G508" s="4">
        <v>46099</v>
      </c>
      <c r="H508" s="4">
        <v>46102</v>
      </c>
      <c r="I508" s="4">
        <v>46105</v>
      </c>
      <c r="J508" s="4"/>
      <c r="K508" s="1" t="s">
        <v>55</v>
      </c>
      <c r="L508" s="1" t="str">
        <f t="shared" si="7"/>
        <v>Branch</v>
      </c>
      <c r="M508" s="1"/>
      <c r="N508" s="1"/>
      <c r="O508" s="1"/>
      <c r="P508" s="1"/>
      <c r="Q508" s="1"/>
      <c r="R508" s="1"/>
      <c r="S508" s="1"/>
    </row>
    <row r="509" spans="1:19" ht="23" customHeight="1">
      <c r="A509" s="1" t="s">
        <v>566</v>
      </c>
      <c r="B509" s="4">
        <v>46058</v>
      </c>
      <c r="C509" s="1" t="s">
        <v>19</v>
      </c>
      <c r="D509" s="1" t="s">
        <v>54</v>
      </c>
      <c r="E509" s="5">
        <v>29000</v>
      </c>
      <c r="F509" s="1">
        <v>0</v>
      </c>
      <c r="G509" s="4">
        <v>46058</v>
      </c>
      <c r="H509" s="4">
        <v>46063</v>
      </c>
      <c r="I509" s="4">
        <v>46066</v>
      </c>
      <c r="J509" s="4"/>
      <c r="K509" s="1" t="s">
        <v>55</v>
      </c>
      <c r="L509" s="1" t="str">
        <f t="shared" si="7"/>
        <v>Online</v>
      </c>
      <c r="M509" s="1"/>
      <c r="N509" s="1"/>
      <c r="O509" s="1"/>
      <c r="P509" s="1"/>
      <c r="Q509" s="1"/>
      <c r="R509" s="1"/>
      <c r="S509" s="1"/>
    </row>
    <row r="510" spans="1:19" ht="23" customHeight="1">
      <c r="A510" s="1" t="s">
        <v>567</v>
      </c>
      <c r="B510" s="4">
        <v>46053</v>
      </c>
      <c r="C510" s="1" t="s">
        <v>18</v>
      </c>
      <c r="D510" s="1" t="s">
        <v>71</v>
      </c>
      <c r="E510" s="5">
        <v>31000</v>
      </c>
      <c r="F510" s="1">
        <v>1</v>
      </c>
      <c r="G510" s="4">
        <v>46061</v>
      </c>
      <c r="H510" s="4">
        <v>46066</v>
      </c>
      <c r="I510" s="4">
        <v>46067</v>
      </c>
      <c r="J510" s="4"/>
      <c r="K510" s="1" t="s">
        <v>55</v>
      </c>
      <c r="L510" s="1" t="str">
        <f t="shared" si="7"/>
        <v>Branch</v>
      </c>
      <c r="M510" s="1"/>
      <c r="N510" s="1"/>
      <c r="O510" s="1"/>
      <c r="P510" s="1"/>
      <c r="Q510" s="1"/>
      <c r="R510" s="1"/>
      <c r="S510" s="1"/>
    </row>
    <row r="511" spans="1:19" ht="23" customHeight="1">
      <c r="A511" s="1" t="s">
        <v>568</v>
      </c>
      <c r="B511" s="4">
        <v>46049</v>
      </c>
      <c r="C511" s="1" t="s">
        <v>18</v>
      </c>
      <c r="D511" s="1" t="s">
        <v>62</v>
      </c>
      <c r="E511" s="5">
        <v>15000</v>
      </c>
      <c r="F511" s="1">
        <v>0</v>
      </c>
      <c r="G511" s="4">
        <v>46051</v>
      </c>
      <c r="H511" s="4">
        <v>46056</v>
      </c>
      <c r="I511" s="4">
        <v>46058</v>
      </c>
      <c r="J511" s="4"/>
      <c r="K511" s="1" t="s">
        <v>55</v>
      </c>
      <c r="L511" s="1" t="str">
        <f t="shared" si="7"/>
        <v>Branch</v>
      </c>
      <c r="M511" s="1"/>
      <c r="N511" s="1"/>
      <c r="O511" s="1"/>
      <c r="P511" s="1"/>
      <c r="Q511" s="1"/>
      <c r="R511" s="1"/>
      <c r="S511" s="1"/>
    </row>
    <row r="512" spans="1:19" ht="23" customHeight="1">
      <c r="A512" s="1" t="s">
        <v>569</v>
      </c>
      <c r="B512" s="4">
        <v>46091</v>
      </c>
      <c r="C512" s="1" t="s">
        <v>18</v>
      </c>
      <c r="D512" s="1" t="s">
        <v>59</v>
      </c>
      <c r="E512" s="5">
        <v>48000</v>
      </c>
      <c r="F512" s="1">
        <v>0</v>
      </c>
      <c r="G512" s="4">
        <v>46093</v>
      </c>
      <c r="H512" s="4">
        <v>46095</v>
      </c>
      <c r="I512" s="4">
        <v>46096</v>
      </c>
      <c r="J512" s="4"/>
      <c r="K512" s="1" t="s">
        <v>63</v>
      </c>
      <c r="L512" s="1" t="str">
        <f t="shared" si="7"/>
        <v>Branch</v>
      </c>
      <c r="M512" s="1"/>
      <c r="N512" s="1"/>
      <c r="O512" s="1"/>
      <c r="P512" s="1"/>
      <c r="Q512" s="1"/>
      <c r="R512" s="1"/>
      <c r="S512" s="1"/>
    </row>
    <row r="513" spans="1:19" ht="23" customHeight="1">
      <c r="A513" s="1" t="s">
        <v>570</v>
      </c>
      <c r="B513" s="4">
        <v>46024</v>
      </c>
      <c r="C513" s="1" t="s">
        <v>18</v>
      </c>
      <c r="D513" s="1" t="s">
        <v>71</v>
      </c>
      <c r="E513" s="5">
        <v>33000</v>
      </c>
      <c r="F513" s="1">
        <v>0</v>
      </c>
      <c r="G513" s="4">
        <v>46025</v>
      </c>
      <c r="H513" s="4">
        <v>46028</v>
      </c>
      <c r="I513" s="4">
        <v>46029</v>
      </c>
      <c r="J513" s="4"/>
      <c r="K513" s="1" t="s">
        <v>63</v>
      </c>
      <c r="L513" s="1" t="str">
        <f t="shared" si="7"/>
        <v>Branch</v>
      </c>
      <c r="M513" s="1"/>
      <c r="N513" s="1"/>
      <c r="O513" s="1"/>
      <c r="P513" s="1"/>
      <c r="Q513" s="1"/>
      <c r="R513" s="1"/>
      <c r="S513" s="1"/>
    </row>
    <row r="514" spans="1:19" ht="23" customHeight="1">
      <c r="A514" s="1" t="s">
        <v>571</v>
      </c>
      <c r="B514" s="4">
        <v>46024</v>
      </c>
      <c r="C514" s="1" t="s">
        <v>19</v>
      </c>
      <c r="D514" s="1" t="s">
        <v>54</v>
      </c>
      <c r="E514" s="5">
        <v>45000</v>
      </c>
      <c r="F514" s="1">
        <v>0</v>
      </c>
      <c r="G514" s="4">
        <v>46024</v>
      </c>
      <c r="H514" s="4">
        <v>46025</v>
      </c>
      <c r="I514" s="4">
        <v>46026</v>
      </c>
      <c r="J514" s="4"/>
      <c r="K514" s="1" t="s">
        <v>63</v>
      </c>
      <c r="L514" s="1" t="str">
        <f t="shared" si="7"/>
        <v>Online</v>
      </c>
      <c r="M514" s="1"/>
      <c r="N514" s="1"/>
      <c r="O514" s="1"/>
      <c r="P514" s="1"/>
      <c r="Q514" s="1"/>
      <c r="R514" s="1"/>
      <c r="S514" s="1"/>
    </row>
    <row r="515" spans="1:19" ht="23" customHeight="1">
      <c r="A515" s="1" t="s">
        <v>572</v>
      </c>
      <c r="B515" s="4">
        <v>46062</v>
      </c>
      <c r="C515" s="1" t="s">
        <v>18</v>
      </c>
      <c r="D515" s="1" t="s">
        <v>71</v>
      </c>
      <c r="E515" s="5">
        <v>14000</v>
      </c>
      <c r="F515" s="1">
        <v>0</v>
      </c>
      <c r="G515" s="4">
        <v>46062</v>
      </c>
      <c r="H515" s="4">
        <v>46066</v>
      </c>
      <c r="I515" s="4">
        <v>46067</v>
      </c>
      <c r="J515" s="4"/>
      <c r="K515" s="1" t="s">
        <v>63</v>
      </c>
      <c r="L515" s="1" t="str">
        <f t="shared" si="7"/>
        <v>Branch</v>
      </c>
      <c r="M515" s="1"/>
      <c r="N515" s="1"/>
      <c r="O515" s="1"/>
      <c r="P515" s="1"/>
      <c r="Q515" s="1"/>
      <c r="R515" s="1"/>
      <c r="S515" s="1"/>
    </row>
    <row r="516" spans="1:19" ht="23" customHeight="1">
      <c r="A516" s="1" t="s">
        <v>573</v>
      </c>
      <c r="B516" s="4">
        <v>46101</v>
      </c>
      <c r="C516" s="1" t="s">
        <v>18</v>
      </c>
      <c r="D516" s="1" t="s">
        <v>65</v>
      </c>
      <c r="E516" s="5">
        <v>18000</v>
      </c>
      <c r="F516" s="1">
        <v>0</v>
      </c>
      <c r="G516" s="4">
        <v>46103</v>
      </c>
      <c r="H516" s="4">
        <v>46107</v>
      </c>
      <c r="I516" s="4">
        <v>46110</v>
      </c>
      <c r="J516" s="4"/>
      <c r="K516" s="1" t="s">
        <v>63</v>
      </c>
      <c r="L516" s="1" t="str">
        <f t="shared" si="7"/>
        <v>Branch</v>
      </c>
      <c r="M516" s="1"/>
      <c r="N516" s="1"/>
      <c r="O516" s="1"/>
      <c r="P516" s="1"/>
      <c r="Q516" s="1"/>
      <c r="R516" s="1"/>
      <c r="S516" s="1"/>
    </row>
    <row r="517" spans="1:19" ht="23" customHeight="1">
      <c r="A517" s="1" t="s">
        <v>574</v>
      </c>
      <c r="B517" s="4">
        <v>46083</v>
      </c>
      <c r="C517" s="1" t="s">
        <v>18</v>
      </c>
      <c r="D517" s="1" t="s">
        <v>62</v>
      </c>
      <c r="E517" s="5">
        <v>26000</v>
      </c>
      <c r="F517" s="1">
        <v>0</v>
      </c>
      <c r="G517" s="4">
        <v>46084</v>
      </c>
      <c r="H517" s="4">
        <v>46092</v>
      </c>
      <c r="I517" s="4">
        <v>46095</v>
      </c>
      <c r="J517" s="4"/>
      <c r="K517" s="1" t="s">
        <v>55</v>
      </c>
      <c r="L517" s="1" t="str">
        <f t="shared" ref="L517:L580" si="8">PROPER(TRIM(C517))</f>
        <v>Branch</v>
      </c>
      <c r="M517" s="1"/>
      <c r="N517" s="1"/>
      <c r="O517" s="1"/>
      <c r="P517" s="1"/>
      <c r="Q517" s="1"/>
      <c r="R517" s="1"/>
      <c r="S517" s="1"/>
    </row>
    <row r="518" spans="1:19" ht="23" customHeight="1">
      <c r="A518" s="1" t="s">
        <v>575</v>
      </c>
      <c r="B518" s="4">
        <v>46109</v>
      </c>
      <c r="C518" s="1" t="s">
        <v>19</v>
      </c>
      <c r="D518" s="1" t="s">
        <v>54</v>
      </c>
      <c r="E518" s="5">
        <v>28000</v>
      </c>
      <c r="F518" s="1">
        <v>1</v>
      </c>
      <c r="G518" s="4"/>
      <c r="H518" s="4"/>
      <c r="I518" s="4"/>
      <c r="J518" s="4"/>
      <c r="K518" s="1" t="s">
        <v>69</v>
      </c>
      <c r="L518" s="1" t="str">
        <f t="shared" si="8"/>
        <v>Online</v>
      </c>
      <c r="M518" s="1"/>
      <c r="N518" s="1"/>
      <c r="O518" s="1"/>
      <c r="P518" s="1"/>
      <c r="Q518" s="1"/>
      <c r="R518" s="1"/>
      <c r="S518" s="1"/>
    </row>
    <row r="519" spans="1:19" ht="23" customHeight="1">
      <c r="A519" s="1" t="s">
        <v>576</v>
      </c>
      <c r="B519" s="4">
        <v>46082</v>
      </c>
      <c r="C519" s="1" t="s">
        <v>19</v>
      </c>
      <c r="D519" s="1" t="s">
        <v>54</v>
      </c>
      <c r="E519" s="5">
        <v>29000</v>
      </c>
      <c r="F519" s="1">
        <v>1</v>
      </c>
      <c r="G519" s="4">
        <v>46086</v>
      </c>
      <c r="H519" s="4">
        <v>46090</v>
      </c>
      <c r="I519" s="4">
        <v>46093</v>
      </c>
      <c r="J519" s="4"/>
      <c r="K519" s="1" t="s">
        <v>63</v>
      </c>
      <c r="L519" s="1" t="str">
        <f t="shared" si="8"/>
        <v>Online</v>
      </c>
      <c r="M519" s="1"/>
      <c r="N519" s="1"/>
      <c r="O519" s="1"/>
      <c r="P519" s="1"/>
      <c r="Q519" s="1"/>
      <c r="R519" s="1"/>
      <c r="S519" s="1"/>
    </row>
    <row r="520" spans="1:19" ht="23" customHeight="1">
      <c r="A520" s="1" t="s">
        <v>577</v>
      </c>
      <c r="B520" s="4">
        <v>46037</v>
      </c>
      <c r="C520" s="1" t="s">
        <v>18</v>
      </c>
      <c r="D520" s="1" t="s">
        <v>71</v>
      </c>
      <c r="E520" s="5">
        <v>34000</v>
      </c>
      <c r="F520" s="1">
        <v>0</v>
      </c>
      <c r="G520" s="4">
        <v>46039</v>
      </c>
      <c r="H520" s="4">
        <v>46040</v>
      </c>
      <c r="I520" s="4">
        <v>46042</v>
      </c>
      <c r="J520" s="4"/>
      <c r="K520" s="1" t="s">
        <v>55</v>
      </c>
      <c r="L520" s="1" t="str">
        <f t="shared" si="8"/>
        <v>Branch</v>
      </c>
      <c r="M520" s="1"/>
      <c r="N520" s="1"/>
      <c r="O520" s="1"/>
      <c r="P520" s="1"/>
      <c r="Q520" s="1"/>
      <c r="R520" s="1"/>
      <c r="S520" s="1"/>
    </row>
    <row r="521" spans="1:19" ht="23" customHeight="1">
      <c r="A521" s="1" t="s">
        <v>578</v>
      </c>
      <c r="B521" s="4">
        <v>46104</v>
      </c>
      <c r="C521" s="1" t="s">
        <v>18</v>
      </c>
      <c r="D521" s="1" t="s">
        <v>59</v>
      </c>
      <c r="E521" s="5">
        <v>16000</v>
      </c>
      <c r="F521" s="1">
        <v>0</v>
      </c>
      <c r="G521" s="4">
        <v>46104</v>
      </c>
      <c r="H521" s="4">
        <v>46110</v>
      </c>
      <c r="I521" s="4">
        <v>46111</v>
      </c>
      <c r="J521" s="4"/>
      <c r="K521" s="1" t="s">
        <v>63</v>
      </c>
      <c r="L521" s="1" t="str">
        <f t="shared" si="8"/>
        <v>Branch</v>
      </c>
      <c r="M521" s="1"/>
      <c r="N521" s="1"/>
      <c r="O521" s="1"/>
      <c r="P521" s="1"/>
      <c r="Q521" s="1"/>
      <c r="R521" s="1"/>
      <c r="S521" s="1"/>
    </row>
    <row r="522" spans="1:19" ht="23" customHeight="1">
      <c r="A522" s="1" t="s">
        <v>579</v>
      </c>
      <c r="B522" s="4">
        <v>46112</v>
      </c>
      <c r="C522" s="1" t="s">
        <v>18</v>
      </c>
      <c r="D522" s="1" t="s">
        <v>65</v>
      </c>
      <c r="E522" s="5">
        <v>13000</v>
      </c>
      <c r="F522" s="1">
        <v>1</v>
      </c>
      <c r="G522" s="4"/>
      <c r="H522" s="4"/>
      <c r="I522" s="4"/>
      <c r="J522" s="4"/>
      <c r="K522" s="1" t="s">
        <v>69</v>
      </c>
      <c r="L522" s="1" t="str">
        <f t="shared" si="8"/>
        <v>Branch</v>
      </c>
      <c r="M522" s="1"/>
      <c r="N522" s="1"/>
      <c r="O522" s="1"/>
      <c r="P522" s="1"/>
      <c r="Q522" s="1"/>
      <c r="R522" s="1"/>
      <c r="S522" s="1"/>
    </row>
    <row r="523" spans="1:19" ht="23" customHeight="1">
      <c r="A523" s="1" t="s">
        <v>580</v>
      </c>
      <c r="B523" s="4">
        <v>46094</v>
      </c>
      <c r="C523" s="1" t="s">
        <v>18</v>
      </c>
      <c r="D523" s="1" t="s">
        <v>62</v>
      </c>
      <c r="E523" s="5">
        <v>27000</v>
      </c>
      <c r="F523" s="1">
        <v>1</v>
      </c>
      <c r="G523" s="4">
        <v>46100</v>
      </c>
      <c r="H523" s="4">
        <v>46107</v>
      </c>
      <c r="I523" s="4">
        <v>46108</v>
      </c>
      <c r="J523" s="4"/>
      <c r="K523" s="1" t="s">
        <v>55</v>
      </c>
      <c r="L523" s="1" t="str">
        <f t="shared" si="8"/>
        <v>Branch</v>
      </c>
      <c r="M523" s="1"/>
      <c r="N523" s="1"/>
      <c r="O523" s="1"/>
      <c r="P523" s="1"/>
      <c r="Q523" s="1"/>
      <c r="R523" s="1"/>
      <c r="S523" s="1"/>
    </row>
    <row r="524" spans="1:19" ht="23" customHeight="1">
      <c r="A524" s="1" t="s">
        <v>581</v>
      </c>
      <c r="B524" s="4">
        <v>46110</v>
      </c>
      <c r="C524" s="1" t="s">
        <v>18</v>
      </c>
      <c r="D524" s="1" t="s">
        <v>71</v>
      </c>
      <c r="E524" s="5">
        <v>36000</v>
      </c>
      <c r="F524" s="1">
        <v>0</v>
      </c>
      <c r="G524" s="4">
        <v>46112</v>
      </c>
      <c r="H524" s="4"/>
      <c r="I524" s="4"/>
      <c r="J524" s="4"/>
      <c r="K524" s="1" t="s">
        <v>69</v>
      </c>
      <c r="L524" s="1" t="str">
        <f t="shared" si="8"/>
        <v>Branch</v>
      </c>
      <c r="M524" s="1"/>
      <c r="N524" s="1"/>
      <c r="O524" s="1"/>
      <c r="P524" s="1"/>
      <c r="Q524" s="1"/>
      <c r="R524" s="1"/>
      <c r="S524" s="1"/>
    </row>
    <row r="525" spans="1:19" ht="23" customHeight="1">
      <c r="A525" s="1" t="s">
        <v>582</v>
      </c>
      <c r="B525" s="4">
        <v>46059</v>
      </c>
      <c r="C525" s="1" t="s">
        <v>19</v>
      </c>
      <c r="D525" s="1" t="s">
        <v>54</v>
      </c>
      <c r="E525" s="5">
        <v>47000</v>
      </c>
      <c r="F525" s="1">
        <v>0</v>
      </c>
      <c r="G525" s="4">
        <v>46061</v>
      </c>
      <c r="H525" s="4">
        <v>46067</v>
      </c>
      <c r="I525" s="4">
        <v>46070</v>
      </c>
      <c r="J525" s="4"/>
      <c r="K525" s="1" t="s">
        <v>55</v>
      </c>
      <c r="L525" s="1" t="str">
        <f t="shared" si="8"/>
        <v>Online</v>
      </c>
      <c r="M525" s="1"/>
      <c r="N525" s="1"/>
      <c r="O525" s="1"/>
      <c r="P525" s="1"/>
      <c r="Q525" s="1"/>
      <c r="R525" s="1"/>
      <c r="S525" s="1"/>
    </row>
    <row r="526" spans="1:19" ht="23" customHeight="1">
      <c r="A526" s="1" t="s">
        <v>583</v>
      </c>
      <c r="B526" s="4">
        <v>46072</v>
      </c>
      <c r="C526" s="1" t="s">
        <v>19</v>
      </c>
      <c r="D526" s="1" t="s">
        <v>54</v>
      </c>
      <c r="E526" s="5">
        <v>10000</v>
      </c>
      <c r="F526" s="1">
        <v>0</v>
      </c>
      <c r="G526" s="4">
        <v>46072</v>
      </c>
      <c r="H526" s="4">
        <v>46078</v>
      </c>
      <c r="I526" s="4">
        <v>46080</v>
      </c>
      <c r="J526" s="4"/>
      <c r="K526" s="1" t="s">
        <v>63</v>
      </c>
      <c r="L526" s="1" t="str">
        <f t="shared" si="8"/>
        <v>Online</v>
      </c>
      <c r="M526" s="1"/>
      <c r="N526" s="1"/>
      <c r="O526" s="1"/>
      <c r="P526" s="1"/>
      <c r="Q526" s="1"/>
      <c r="R526" s="1"/>
      <c r="S526" s="1"/>
    </row>
    <row r="527" spans="1:19" ht="23" customHeight="1">
      <c r="A527" s="1" t="s">
        <v>584</v>
      </c>
      <c r="B527" s="4">
        <v>46079</v>
      </c>
      <c r="C527" s="1" t="s">
        <v>18</v>
      </c>
      <c r="D527" s="1" t="s">
        <v>71</v>
      </c>
      <c r="E527" s="5">
        <v>34000</v>
      </c>
      <c r="F527" s="1">
        <v>0</v>
      </c>
      <c r="G527" s="4">
        <v>46079</v>
      </c>
      <c r="H527" s="4">
        <v>46080</v>
      </c>
      <c r="I527" s="4">
        <v>46082</v>
      </c>
      <c r="J527" s="4"/>
      <c r="K527" s="1" t="s">
        <v>55</v>
      </c>
      <c r="L527" s="1" t="str">
        <f t="shared" si="8"/>
        <v>Branch</v>
      </c>
      <c r="M527" s="1"/>
      <c r="N527" s="1"/>
      <c r="O527" s="1"/>
      <c r="P527" s="1"/>
      <c r="Q527" s="1"/>
      <c r="R527" s="1"/>
      <c r="S527" s="1"/>
    </row>
    <row r="528" spans="1:19" ht="23" customHeight="1">
      <c r="A528" s="1" t="s">
        <v>585</v>
      </c>
      <c r="B528" s="4">
        <v>46086</v>
      </c>
      <c r="C528" s="1" t="s">
        <v>19</v>
      </c>
      <c r="D528" s="1" t="s">
        <v>54</v>
      </c>
      <c r="E528" s="5">
        <v>42000</v>
      </c>
      <c r="F528" s="1">
        <v>0</v>
      </c>
      <c r="G528" s="4">
        <v>46088</v>
      </c>
      <c r="H528" s="4">
        <v>46089</v>
      </c>
      <c r="I528" s="4">
        <v>46090</v>
      </c>
      <c r="J528" s="4"/>
      <c r="K528" s="1" t="s">
        <v>55</v>
      </c>
      <c r="L528" s="1" t="str">
        <f t="shared" si="8"/>
        <v>Online</v>
      </c>
      <c r="M528" s="1"/>
      <c r="N528" s="1"/>
      <c r="O528" s="1"/>
      <c r="P528" s="1"/>
      <c r="Q528" s="1"/>
      <c r="R528" s="1"/>
      <c r="S528" s="1"/>
    </row>
    <row r="529" spans="1:19" ht="23" customHeight="1">
      <c r="A529" s="1" t="s">
        <v>586</v>
      </c>
      <c r="B529" s="4">
        <v>46111</v>
      </c>
      <c r="C529" s="1" t="s">
        <v>18</v>
      </c>
      <c r="D529" s="1" t="s">
        <v>65</v>
      </c>
      <c r="E529" s="5">
        <v>18000</v>
      </c>
      <c r="F529" s="1">
        <v>0</v>
      </c>
      <c r="G529" s="4"/>
      <c r="H529" s="4"/>
      <c r="I529" s="4"/>
      <c r="J529" s="4"/>
      <c r="K529" s="1" t="s">
        <v>69</v>
      </c>
      <c r="L529" s="1" t="str">
        <f t="shared" si="8"/>
        <v>Branch</v>
      </c>
      <c r="M529" s="1"/>
      <c r="N529" s="1"/>
      <c r="O529" s="1"/>
      <c r="P529" s="1"/>
      <c r="Q529" s="1"/>
      <c r="R529" s="1"/>
      <c r="S529" s="1"/>
    </row>
    <row r="530" spans="1:19" ht="23" customHeight="1">
      <c r="A530" s="1" t="s">
        <v>587</v>
      </c>
      <c r="B530" s="4">
        <v>46104</v>
      </c>
      <c r="C530" s="1" t="s">
        <v>19</v>
      </c>
      <c r="D530" s="1" t="s">
        <v>54</v>
      </c>
      <c r="E530" s="5">
        <v>42000</v>
      </c>
      <c r="F530" s="1">
        <v>1</v>
      </c>
      <c r="G530" s="4"/>
      <c r="H530" s="4"/>
      <c r="I530" s="4"/>
      <c r="J530" s="4">
        <v>46111</v>
      </c>
      <c r="K530" s="1" t="s">
        <v>86</v>
      </c>
      <c r="L530" s="1" t="str">
        <f t="shared" si="8"/>
        <v>Online</v>
      </c>
      <c r="M530" s="1"/>
      <c r="N530" s="1"/>
      <c r="O530" s="1"/>
      <c r="P530" s="1"/>
      <c r="Q530" s="1"/>
      <c r="R530" s="1"/>
      <c r="S530" s="1"/>
    </row>
    <row r="531" spans="1:19" ht="23" customHeight="1">
      <c r="A531" s="1" t="s">
        <v>588</v>
      </c>
      <c r="B531" s="4">
        <v>46049</v>
      </c>
      <c r="C531" s="1" t="s">
        <v>18</v>
      </c>
      <c r="D531" s="1" t="s">
        <v>71</v>
      </c>
      <c r="E531" s="5">
        <v>35000</v>
      </c>
      <c r="F531" s="1">
        <v>0</v>
      </c>
      <c r="G531" s="4">
        <v>46051</v>
      </c>
      <c r="H531" s="4">
        <v>46057</v>
      </c>
      <c r="I531" s="4">
        <v>46059</v>
      </c>
      <c r="J531" s="4"/>
      <c r="K531" s="1" t="s">
        <v>63</v>
      </c>
      <c r="L531" s="1" t="str">
        <f t="shared" si="8"/>
        <v>Branch</v>
      </c>
      <c r="M531" s="1"/>
      <c r="N531" s="1"/>
      <c r="O531" s="1"/>
      <c r="P531" s="1"/>
      <c r="Q531" s="1"/>
      <c r="R531" s="1"/>
      <c r="S531" s="1"/>
    </row>
    <row r="532" spans="1:19" ht="23" customHeight="1">
      <c r="A532" s="1" t="s">
        <v>589</v>
      </c>
      <c r="B532" s="4">
        <v>46029</v>
      </c>
      <c r="C532" s="1" t="s">
        <v>18</v>
      </c>
      <c r="D532" s="1" t="s">
        <v>65</v>
      </c>
      <c r="E532" s="5">
        <v>17000</v>
      </c>
      <c r="F532" s="1">
        <v>1</v>
      </c>
      <c r="G532" s="4">
        <v>46035</v>
      </c>
      <c r="H532" s="4">
        <v>46039</v>
      </c>
      <c r="I532" s="4">
        <v>46041</v>
      </c>
      <c r="J532" s="4"/>
      <c r="K532" s="1" t="s">
        <v>55</v>
      </c>
      <c r="L532" s="1" t="str">
        <f t="shared" si="8"/>
        <v>Branch</v>
      </c>
      <c r="M532" s="1"/>
      <c r="N532" s="1"/>
      <c r="O532" s="1"/>
      <c r="P532" s="1"/>
      <c r="Q532" s="1"/>
      <c r="R532" s="1"/>
      <c r="S532" s="1"/>
    </row>
    <row r="533" spans="1:19" ht="23" customHeight="1">
      <c r="A533" s="1" t="s">
        <v>590</v>
      </c>
      <c r="B533" s="4">
        <v>46025</v>
      </c>
      <c r="C533" s="1" t="s">
        <v>18</v>
      </c>
      <c r="D533" s="1" t="s">
        <v>59</v>
      </c>
      <c r="E533" s="5">
        <v>39000</v>
      </c>
      <c r="F533" s="1">
        <v>0</v>
      </c>
      <c r="G533" s="4">
        <v>46027</v>
      </c>
      <c r="H533" s="4">
        <v>46033</v>
      </c>
      <c r="I533" s="4">
        <v>46036</v>
      </c>
      <c r="J533" s="4"/>
      <c r="K533" s="1" t="s">
        <v>63</v>
      </c>
      <c r="L533" s="1" t="str">
        <f t="shared" si="8"/>
        <v>Branch</v>
      </c>
      <c r="M533" s="1"/>
      <c r="N533" s="1"/>
      <c r="O533" s="1"/>
      <c r="P533" s="1"/>
      <c r="Q533" s="1"/>
      <c r="R533" s="1"/>
      <c r="S533" s="1"/>
    </row>
    <row r="534" spans="1:19" ht="23" customHeight="1">
      <c r="A534" s="1" t="s">
        <v>591</v>
      </c>
      <c r="B534" s="4">
        <v>46052</v>
      </c>
      <c r="C534" s="1" t="s">
        <v>18</v>
      </c>
      <c r="D534" s="1" t="s">
        <v>65</v>
      </c>
      <c r="E534" s="5">
        <v>32000</v>
      </c>
      <c r="F534" s="1">
        <v>0</v>
      </c>
      <c r="G534" s="4">
        <v>46053</v>
      </c>
      <c r="H534" s="4">
        <v>46056</v>
      </c>
      <c r="I534" s="4">
        <v>46057</v>
      </c>
      <c r="J534" s="4"/>
      <c r="K534" s="1" t="s">
        <v>55</v>
      </c>
      <c r="L534" s="1" t="str">
        <f t="shared" si="8"/>
        <v>Branch</v>
      </c>
      <c r="M534" s="1"/>
      <c r="N534" s="1"/>
      <c r="O534" s="1"/>
      <c r="P534" s="1"/>
      <c r="Q534" s="1"/>
      <c r="R534" s="1"/>
      <c r="S534" s="1"/>
    </row>
    <row r="535" spans="1:19" ht="23" customHeight="1">
      <c r="A535" s="1" t="s">
        <v>592</v>
      </c>
      <c r="B535" s="4">
        <v>46103</v>
      </c>
      <c r="C535" s="1" t="s">
        <v>18</v>
      </c>
      <c r="D535" s="1" t="s">
        <v>65</v>
      </c>
      <c r="E535" s="5">
        <v>13000</v>
      </c>
      <c r="F535" s="1">
        <v>0</v>
      </c>
      <c r="G535" s="4">
        <v>46105</v>
      </c>
      <c r="H535" s="4">
        <v>46110</v>
      </c>
      <c r="I535" s="4">
        <v>46111</v>
      </c>
      <c r="J535" s="4"/>
      <c r="K535" s="1" t="s">
        <v>55</v>
      </c>
      <c r="L535" s="1" t="str">
        <f t="shared" si="8"/>
        <v>Branch</v>
      </c>
      <c r="M535" s="1"/>
      <c r="N535" s="1"/>
      <c r="O535" s="1"/>
      <c r="P535" s="1"/>
      <c r="Q535" s="1"/>
      <c r="R535" s="1"/>
      <c r="S535" s="1"/>
    </row>
    <row r="536" spans="1:19" ht="23" customHeight="1">
      <c r="A536" s="1" t="s">
        <v>593</v>
      </c>
      <c r="B536" s="4">
        <v>46034</v>
      </c>
      <c r="C536" s="1" t="s">
        <v>18</v>
      </c>
      <c r="D536" s="1" t="s">
        <v>65</v>
      </c>
      <c r="E536" s="5">
        <v>31000</v>
      </c>
      <c r="F536" s="1">
        <v>0</v>
      </c>
      <c r="G536" s="4">
        <v>46034</v>
      </c>
      <c r="H536" s="4">
        <v>46040</v>
      </c>
      <c r="I536" s="4">
        <v>46041</v>
      </c>
      <c r="J536" s="4"/>
      <c r="K536" s="1" t="s">
        <v>55</v>
      </c>
      <c r="L536" s="1" t="str">
        <f t="shared" si="8"/>
        <v>Branch</v>
      </c>
      <c r="M536" s="1"/>
      <c r="N536" s="1"/>
      <c r="O536" s="1"/>
      <c r="P536" s="1"/>
      <c r="Q536" s="1"/>
      <c r="R536" s="1"/>
      <c r="S536" s="1"/>
    </row>
    <row r="537" spans="1:19" ht="23" customHeight="1">
      <c r="A537" s="1" t="s">
        <v>594</v>
      </c>
      <c r="B537" s="4">
        <v>46037</v>
      </c>
      <c r="C537" s="1" t="s">
        <v>18</v>
      </c>
      <c r="D537" s="1" t="s">
        <v>65</v>
      </c>
      <c r="E537" s="5">
        <v>9000</v>
      </c>
      <c r="F537" s="1">
        <v>1</v>
      </c>
      <c r="G537" s="4">
        <v>46041</v>
      </c>
      <c r="H537" s="4">
        <v>46046</v>
      </c>
      <c r="I537" s="4">
        <v>46047</v>
      </c>
      <c r="J537" s="4"/>
      <c r="K537" s="1" t="s">
        <v>55</v>
      </c>
      <c r="L537" s="1" t="str">
        <f t="shared" si="8"/>
        <v>Branch</v>
      </c>
      <c r="M537" s="1"/>
      <c r="N537" s="1"/>
      <c r="O537" s="1"/>
      <c r="P537" s="1"/>
      <c r="Q537" s="1"/>
      <c r="R537" s="1"/>
      <c r="S537" s="1"/>
    </row>
    <row r="538" spans="1:19" ht="23" customHeight="1">
      <c r="A538" s="1" t="s">
        <v>595</v>
      </c>
      <c r="B538" s="4">
        <v>46087</v>
      </c>
      <c r="C538" s="1" t="s">
        <v>18</v>
      </c>
      <c r="D538" s="1" t="s">
        <v>71</v>
      </c>
      <c r="E538" s="5">
        <v>10000</v>
      </c>
      <c r="F538" s="1">
        <v>0</v>
      </c>
      <c r="G538" s="4">
        <v>46087</v>
      </c>
      <c r="H538" s="4">
        <v>46091</v>
      </c>
      <c r="I538" s="4">
        <v>46093</v>
      </c>
      <c r="J538" s="4"/>
      <c r="K538" s="1" t="s">
        <v>55</v>
      </c>
      <c r="L538" s="1" t="str">
        <f t="shared" si="8"/>
        <v>Branch</v>
      </c>
      <c r="M538" s="1"/>
      <c r="N538" s="1"/>
      <c r="O538" s="1"/>
      <c r="P538" s="1"/>
      <c r="Q538" s="1"/>
      <c r="R538" s="1"/>
      <c r="S538" s="1"/>
    </row>
    <row r="539" spans="1:19" ht="23" customHeight="1">
      <c r="A539" s="1" t="s">
        <v>596</v>
      </c>
      <c r="B539" s="4">
        <v>46111</v>
      </c>
      <c r="C539" s="1" t="s">
        <v>19</v>
      </c>
      <c r="D539" s="1" t="s">
        <v>54</v>
      </c>
      <c r="E539" s="5">
        <v>24000</v>
      </c>
      <c r="F539" s="1">
        <v>0</v>
      </c>
      <c r="G539" s="4"/>
      <c r="H539" s="4"/>
      <c r="I539" s="4"/>
      <c r="J539" s="4"/>
      <c r="K539" s="1" t="s">
        <v>69</v>
      </c>
      <c r="L539" s="1" t="str">
        <f t="shared" si="8"/>
        <v>Online</v>
      </c>
      <c r="M539" s="1"/>
      <c r="N539" s="1"/>
      <c r="O539" s="1"/>
      <c r="P539" s="1"/>
      <c r="Q539" s="1"/>
      <c r="R539" s="1"/>
      <c r="S539" s="1"/>
    </row>
    <row r="540" spans="1:19" ht="23" customHeight="1">
      <c r="A540" s="1" t="s">
        <v>597</v>
      </c>
      <c r="B540" s="4">
        <v>46099</v>
      </c>
      <c r="C540" s="1" t="s">
        <v>18</v>
      </c>
      <c r="D540" s="1" t="s">
        <v>65</v>
      </c>
      <c r="E540" s="5">
        <v>8000</v>
      </c>
      <c r="F540" s="1">
        <v>1</v>
      </c>
      <c r="G540" s="4">
        <v>46108</v>
      </c>
      <c r="H540" s="4">
        <v>46109</v>
      </c>
      <c r="I540" s="4">
        <v>46111</v>
      </c>
      <c r="J540" s="4"/>
      <c r="K540" s="1" t="s">
        <v>55</v>
      </c>
      <c r="L540" s="1" t="str">
        <f t="shared" si="8"/>
        <v>Branch</v>
      </c>
      <c r="M540" s="1"/>
      <c r="N540" s="1"/>
      <c r="O540" s="1"/>
      <c r="P540" s="1"/>
      <c r="Q540" s="1"/>
      <c r="R540" s="1"/>
      <c r="S540" s="1"/>
    </row>
    <row r="541" spans="1:19" ht="23" customHeight="1">
      <c r="A541" s="1" t="s">
        <v>598</v>
      </c>
      <c r="B541" s="4">
        <v>46059</v>
      </c>
      <c r="C541" s="1" t="s">
        <v>18</v>
      </c>
      <c r="D541" s="1" t="s">
        <v>59</v>
      </c>
      <c r="E541" s="5">
        <v>42000</v>
      </c>
      <c r="F541" s="1">
        <v>1</v>
      </c>
      <c r="G541" s="4">
        <v>46066</v>
      </c>
      <c r="H541" s="4">
        <v>46067</v>
      </c>
      <c r="I541" s="4">
        <v>46068</v>
      </c>
      <c r="J541" s="4"/>
      <c r="K541" s="1" t="s">
        <v>55</v>
      </c>
      <c r="L541" s="1" t="str">
        <f t="shared" si="8"/>
        <v>Branch</v>
      </c>
      <c r="M541" s="1"/>
      <c r="N541" s="1"/>
      <c r="O541" s="1"/>
      <c r="P541" s="1"/>
      <c r="Q541" s="1"/>
      <c r="R541" s="1"/>
      <c r="S541" s="1"/>
    </row>
    <row r="542" spans="1:19" ht="23" customHeight="1">
      <c r="A542" s="1" t="s">
        <v>599</v>
      </c>
      <c r="B542" s="4">
        <v>46030</v>
      </c>
      <c r="C542" s="1" t="s">
        <v>19</v>
      </c>
      <c r="D542" s="1" t="s">
        <v>54</v>
      </c>
      <c r="E542" s="5">
        <v>38000</v>
      </c>
      <c r="F542" s="1">
        <v>0</v>
      </c>
      <c r="G542" s="4">
        <v>46031</v>
      </c>
      <c r="H542" s="4">
        <v>46037</v>
      </c>
      <c r="I542" s="4">
        <v>46038</v>
      </c>
      <c r="J542" s="4"/>
      <c r="K542" s="1" t="s">
        <v>63</v>
      </c>
      <c r="L542" s="1" t="str">
        <f t="shared" si="8"/>
        <v>Online</v>
      </c>
      <c r="M542" s="1"/>
      <c r="N542" s="1"/>
      <c r="O542" s="1"/>
      <c r="P542" s="1"/>
      <c r="Q542" s="1"/>
      <c r="R542" s="1"/>
      <c r="S542" s="1"/>
    </row>
    <row r="543" spans="1:19" ht="23" customHeight="1">
      <c r="A543" s="1" t="s">
        <v>600</v>
      </c>
      <c r="B543" s="4">
        <v>46083</v>
      </c>
      <c r="C543" s="1" t="s">
        <v>18</v>
      </c>
      <c r="D543" s="1" t="s">
        <v>65</v>
      </c>
      <c r="E543" s="5">
        <v>19000</v>
      </c>
      <c r="F543" s="1">
        <v>1</v>
      </c>
      <c r="G543" s="4">
        <v>46087</v>
      </c>
      <c r="H543" s="4">
        <v>46092</v>
      </c>
      <c r="I543" s="4">
        <v>46094</v>
      </c>
      <c r="J543" s="4"/>
      <c r="K543" s="1" t="s">
        <v>55</v>
      </c>
      <c r="L543" s="1" t="str">
        <f t="shared" si="8"/>
        <v>Branch</v>
      </c>
      <c r="M543" s="1"/>
      <c r="N543" s="1"/>
      <c r="O543" s="1"/>
      <c r="P543" s="1"/>
      <c r="Q543" s="1"/>
      <c r="R543" s="1"/>
      <c r="S543" s="1"/>
    </row>
    <row r="544" spans="1:19" ht="23" customHeight="1">
      <c r="A544" s="1" t="s">
        <v>601</v>
      </c>
      <c r="B544" s="4">
        <v>46097</v>
      </c>
      <c r="C544" s="1" t="s">
        <v>18</v>
      </c>
      <c r="D544" s="1" t="s">
        <v>65</v>
      </c>
      <c r="E544" s="5">
        <v>26000</v>
      </c>
      <c r="F544" s="1">
        <v>0</v>
      </c>
      <c r="G544" s="4">
        <v>46099</v>
      </c>
      <c r="H544" s="4">
        <v>46103</v>
      </c>
      <c r="I544" s="4">
        <v>46104</v>
      </c>
      <c r="J544" s="4"/>
      <c r="K544" s="1" t="s">
        <v>63</v>
      </c>
      <c r="L544" s="1" t="str">
        <f t="shared" si="8"/>
        <v>Branch</v>
      </c>
      <c r="M544" s="1"/>
      <c r="N544" s="1"/>
      <c r="O544" s="1"/>
      <c r="P544" s="1"/>
      <c r="Q544" s="1"/>
      <c r="R544" s="1"/>
      <c r="S544" s="1"/>
    </row>
    <row r="545" spans="1:19" ht="23" customHeight="1">
      <c r="A545" s="1" t="s">
        <v>602</v>
      </c>
      <c r="B545" s="4">
        <v>46025</v>
      </c>
      <c r="C545" s="1" t="s">
        <v>18</v>
      </c>
      <c r="D545" s="1" t="s">
        <v>65</v>
      </c>
      <c r="E545" s="5">
        <v>29000</v>
      </c>
      <c r="F545" s="1">
        <v>1</v>
      </c>
      <c r="G545" s="4">
        <v>46032</v>
      </c>
      <c r="H545" s="4">
        <v>46035</v>
      </c>
      <c r="I545" s="4">
        <v>46038</v>
      </c>
      <c r="J545" s="4"/>
      <c r="K545" s="1" t="s">
        <v>55</v>
      </c>
      <c r="L545" s="1" t="str">
        <f t="shared" si="8"/>
        <v>Branch</v>
      </c>
      <c r="M545" s="1"/>
      <c r="N545" s="1"/>
      <c r="O545" s="1"/>
      <c r="P545" s="1"/>
      <c r="Q545" s="1"/>
      <c r="R545" s="1"/>
      <c r="S545" s="1"/>
    </row>
    <row r="546" spans="1:19" ht="23" customHeight="1">
      <c r="A546" s="1" t="s">
        <v>603</v>
      </c>
      <c r="B546" s="4">
        <v>46058</v>
      </c>
      <c r="C546" s="1" t="s">
        <v>18</v>
      </c>
      <c r="D546" s="1" t="s">
        <v>71</v>
      </c>
      <c r="E546" s="5">
        <v>9000</v>
      </c>
      <c r="F546" s="1">
        <v>0</v>
      </c>
      <c r="G546" s="4">
        <v>46058</v>
      </c>
      <c r="H546" s="4">
        <v>46060</v>
      </c>
      <c r="I546" s="4">
        <v>46063</v>
      </c>
      <c r="J546" s="4"/>
      <c r="K546" s="1" t="s">
        <v>55</v>
      </c>
      <c r="L546" s="1" t="str">
        <f t="shared" si="8"/>
        <v>Branch</v>
      </c>
      <c r="M546" s="1"/>
      <c r="N546" s="1"/>
      <c r="O546" s="1"/>
      <c r="P546" s="1"/>
      <c r="Q546" s="1"/>
      <c r="R546" s="1"/>
      <c r="S546" s="1"/>
    </row>
    <row r="547" spans="1:19" ht="23" customHeight="1">
      <c r="A547" s="1" t="s">
        <v>604</v>
      </c>
      <c r="B547" s="4">
        <v>46109</v>
      </c>
      <c r="C547" s="1" t="s">
        <v>19</v>
      </c>
      <c r="D547" s="1" t="s">
        <v>54</v>
      </c>
      <c r="E547" s="5">
        <v>29000</v>
      </c>
      <c r="F547" s="1">
        <v>0</v>
      </c>
      <c r="G547" s="4">
        <v>46110</v>
      </c>
      <c r="H547" s="4"/>
      <c r="I547" s="4"/>
      <c r="J547" s="4"/>
      <c r="K547" s="1" t="s">
        <v>69</v>
      </c>
      <c r="L547" s="1" t="str">
        <f t="shared" si="8"/>
        <v>Online</v>
      </c>
      <c r="M547" s="1"/>
      <c r="N547" s="1"/>
      <c r="O547" s="1"/>
      <c r="P547" s="1"/>
      <c r="Q547" s="1"/>
      <c r="R547" s="1"/>
      <c r="S547" s="1"/>
    </row>
    <row r="548" spans="1:19" ht="23" customHeight="1">
      <c r="A548" s="1" t="s">
        <v>605</v>
      </c>
      <c r="B548" s="4">
        <v>46072</v>
      </c>
      <c r="C548" s="1" t="s">
        <v>19</v>
      </c>
      <c r="D548" s="1" t="s">
        <v>54</v>
      </c>
      <c r="E548" s="5">
        <v>16000</v>
      </c>
      <c r="F548" s="1">
        <v>0</v>
      </c>
      <c r="G548" s="4">
        <v>46072</v>
      </c>
      <c r="H548" s="4">
        <v>46078</v>
      </c>
      <c r="I548" s="4">
        <v>46079</v>
      </c>
      <c r="J548" s="4"/>
      <c r="K548" s="1" t="s">
        <v>55</v>
      </c>
      <c r="L548" s="1" t="str">
        <f t="shared" si="8"/>
        <v>Online</v>
      </c>
      <c r="M548" s="1"/>
      <c r="N548" s="1"/>
      <c r="O548" s="1"/>
      <c r="P548" s="1"/>
      <c r="Q548" s="1"/>
      <c r="R548" s="1"/>
      <c r="S548" s="1"/>
    </row>
    <row r="549" spans="1:19" ht="23" customHeight="1">
      <c r="A549" s="1" t="s">
        <v>606</v>
      </c>
      <c r="B549" s="4">
        <v>46044</v>
      </c>
      <c r="C549" s="1" t="s">
        <v>18</v>
      </c>
      <c r="D549" s="1" t="s">
        <v>71</v>
      </c>
      <c r="E549" s="5">
        <v>14000</v>
      </c>
      <c r="F549" s="1">
        <v>0</v>
      </c>
      <c r="G549" s="4">
        <v>46044</v>
      </c>
      <c r="H549" s="4">
        <v>46046</v>
      </c>
      <c r="I549" s="4">
        <v>46047</v>
      </c>
      <c r="J549" s="4"/>
      <c r="K549" s="1" t="s">
        <v>55</v>
      </c>
      <c r="L549" s="1" t="str">
        <f t="shared" si="8"/>
        <v>Branch</v>
      </c>
      <c r="M549" s="1"/>
      <c r="N549" s="1"/>
      <c r="O549" s="1"/>
      <c r="P549" s="1"/>
      <c r="Q549" s="1"/>
      <c r="R549" s="1"/>
      <c r="S549" s="1"/>
    </row>
    <row r="550" spans="1:19" ht="23" customHeight="1">
      <c r="A550" s="1" t="s">
        <v>607</v>
      </c>
      <c r="B550" s="4">
        <v>46089</v>
      </c>
      <c r="C550" s="1" t="s">
        <v>19</v>
      </c>
      <c r="D550" s="1" t="s">
        <v>54</v>
      </c>
      <c r="E550" s="5">
        <v>5000</v>
      </c>
      <c r="F550" s="1">
        <v>0</v>
      </c>
      <c r="G550" s="4">
        <v>46091</v>
      </c>
      <c r="H550" s="4">
        <v>46097</v>
      </c>
      <c r="I550" s="4">
        <v>46098</v>
      </c>
      <c r="J550" s="4"/>
      <c r="K550" s="1" t="s">
        <v>55</v>
      </c>
      <c r="L550" s="1" t="str">
        <f t="shared" si="8"/>
        <v>Online</v>
      </c>
      <c r="M550" s="1"/>
      <c r="N550" s="1"/>
      <c r="O550" s="1"/>
      <c r="P550" s="1"/>
      <c r="Q550" s="1"/>
      <c r="R550" s="1"/>
      <c r="S550" s="1"/>
    </row>
    <row r="551" spans="1:19" ht="23" customHeight="1">
      <c r="A551" s="1" t="s">
        <v>608</v>
      </c>
      <c r="B551" s="4">
        <v>46033</v>
      </c>
      <c r="C551" s="1" t="s">
        <v>19</v>
      </c>
      <c r="D551" s="1" t="s">
        <v>54</v>
      </c>
      <c r="E551" s="5">
        <v>49000</v>
      </c>
      <c r="F551" s="1">
        <v>0</v>
      </c>
      <c r="G551" s="4">
        <v>46034</v>
      </c>
      <c r="H551" s="4">
        <v>46037</v>
      </c>
      <c r="I551" s="4">
        <v>46038</v>
      </c>
      <c r="J551" s="4"/>
      <c r="K551" s="1" t="s">
        <v>55</v>
      </c>
      <c r="L551" s="1" t="str">
        <f t="shared" si="8"/>
        <v>Online</v>
      </c>
      <c r="M551" s="1"/>
      <c r="N551" s="1"/>
      <c r="O551" s="1"/>
      <c r="P551" s="1"/>
      <c r="Q551" s="1"/>
      <c r="R551" s="1"/>
      <c r="S551" s="1"/>
    </row>
    <row r="552" spans="1:19" ht="23" customHeight="1">
      <c r="A552" s="1" t="s">
        <v>609</v>
      </c>
      <c r="B552" s="4">
        <v>46048</v>
      </c>
      <c r="C552" s="1" t="s">
        <v>18</v>
      </c>
      <c r="D552" s="1" t="s">
        <v>62</v>
      </c>
      <c r="E552" s="5">
        <v>37000</v>
      </c>
      <c r="F552" s="1">
        <v>1</v>
      </c>
      <c r="G552" s="4">
        <v>46054</v>
      </c>
      <c r="H552" s="4">
        <v>46058</v>
      </c>
      <c r="I552" s="4">
        <v>46060</v>
      </c>
      <c r="J552" s="4"/>
      <c r="K552" s="1" t="s">
        <v>55</v>
      </c>
      <c r="L552" s="1" t="str">
        <f t="shared" si="8"/>
        <v>Branch</v>
      </c>
      <c r="M552" s="1"/>
      <c r="N552" s="1"/>
      <c r="O552" s="1"/>
      <c r="P552" s="1"/>
      <c r="Q552" s="1"/>
      <c r="R552" s="1"/>
      <c r="S552" s="1"/>
    </row>
    <row r="553" spans="1:19" ht="23" customHeight="1">
      <c r="A553" s="1" t="s">
        <v>610</v>
      </c>
      <c r="B553" s="4">
        <v>46087</v>
      </c>
      <c r="C553" s="1" t="s">
        <v>18</v>
      </c>
      <c r="D553" s="1" t="s">
        <v>65</v>
      </c>
      <c r="E553" s="5">
        <v>31000</v>
      </c>
      <c r="F553" s="1">
        <v>0</v>
      </c>
      <c r="G553" s="4">
        <v>46089</v>
      </c>
      <c r="H553" s="4">
        <v>46092</v>
      </c>
      <c r="I553" s="4">
        <v>46095</v>
      </c>
      <c r="J553" s="4"/>
      <c r="K553" s="1" t="s">
        <v>55</v>
      </c>
      <c r="L553" s="1" t="str">
        <f t="shared" si="8"/>
        <v>Branch</v>
      </c>
      <c r="M553" s="1"/>
      <c r="N553" s="1"/>
      <c r="O553" s="1"/>
      <c r="P553" s="1"/>
      <c r="Q553" s="1"/>
      <c r="R553" s="1"/>
      <c r="S553" s="1"/>
    </row>
    <row r="554" spans="1:19" ht="23" customHeight="1">
      <c r="A554" s="1" t="s">
        <v>611</v>
      </c>
      <c r="B554" s="4">
        <v>46079</v>
      </c>
      <c r="C554" s="1" t="s">
        <v>19</v>
      </c>
      <c r="D554" s="1" t="s">
        <v>54</v>
      </c>
      <c r="E554" s="5">
        <v>32000</v>
      </c>
      <c r="F554" s="1">
        <v>1</v>
      </c>
      <c r="G554" s="4">
        <v>46085</v>
      </c>
      <c r="H554" s="4">
        <v>46088</v>
      </c>
      <c r="I554" s="4">
        <v>46090</v>
      </c>
      <c r="J554" s="4"/>
      <c r="K554" s="1" t="s">
        <v>55</v>
      </c>
      <c r="L554" s="1" t="str">
        <f t="shared" si="8"/>
        <v>Online</v>
      </c>
      <c r="M554" s="1"/>
      <c r="N554" s="1"/>
      <c r="O554" s="1"/>
      <c r="P554" s="1"/>
      <c r="Q554" s="1"/>
      <c r="R554" s="1"/>
      <c r="S554" s="1"/>
    </row>
    <row r="555" spans="1:19" ht="23" customHeight="1">
      <c r="A555" s="1" t="s">
        <v>612</v>
      </c>
      <c r="B555" s="4">
        <v>46107</v>
      </c>
      <c r="C555" s="1" t="s">
        <v>18</v>
      </c>
      <c r="D555" s="1" t="s">
        <v>62</v>
      </c>
      <c r="E555" s="5">
        <v>7000</v>
      </c>
      <c r="F555" s="1">
        <v>1</v>
      </c>
      <c r="G555" s="4"/>
      <c r="H555" s="4"/>
      <c r="I555" s="4"/>
      <c r="J555" s="4"/>
      <c r="K555" s="1" t="s">
        <v>69</v>
      </c>
      <c r="L555" s="1" t="str">
        <f t="shared" si="8"/>
        <v>Branch</v>
      </c>
      <c r="M555" s="1"/>
      <c r="N555" s="1"/>
      <c r="O555" s="1"/>
      <c r="P555" s="1"/>
      <c r="Q555" s="1"/>
      <c r="R555" s="1"/>
      <c r="S555" s="1"/>
    </row>
    <row r="556" spans="1:19" ht="23" customHeight="1">
      <c r="A556" s="1" t="s">
        <v>613</v>
      </c>
      <c r="B556" s="4">
        <v>46092</v>
      </c>
      <c r="C556" s="1" t="s">
        <v>19</v>
      </c>
      <c r="D556" s="1" t="s">
        <v>54</v>
      </c>
      <c r="E556" s="5">
        <v>47000</v>
      </c>
      <c r="F556" s="1">
        <v>1</v>
      </c>
      <c r="G556" s="4">
        <v>46100</v>
      </c>
      <c r="H556" s="4">
        <v>46106</v>
      </c>
      <c r="I556" s="4">
        <v>46108</v>
      </c>
      <c r="J556" s="4"/>
      <c r="K556" s="1" t="s">
        <v>55</v>
      </c>
      <c r="L556" s="1" t="str">
        <f t="shared" si="8"/>
        <v>Online</v>
      </c>
      <c r="M556" s="1"/>
      <c r="N556" s="1"/>
      <c r="O556" s="1"/>
      <c r="P556" s="1"/>
      <c r="Q556" s="1"/>
      <c r="R556" s="1"/>
      <c r="S556" s="1"/>
    </row>
    <row r="557" spans="1:19" ht="23" customHeight="1">
      <c r="A557" s="1" t="s">
        <v>614</v>
      </c>
      <c r="B557" s="4">
        <v>46103</v>
      </c>
      <c r="C557" s="1" t="s">
        <v>19</v>
      </c>
      <c r="D557" s="1" t="s">
        <v>54</v>
      </c>
      <c r="E557" s="5">
        <v>30000</v>
      </c>
      <c r="F557" s="1">
        <v>0</v>
      </c>
      <c r="G557" s="4">
        <v>46103</v>
      </c>
      <c r="H557" s="4">
        <v>46107</v>
      </c>
      <c r="I557" s="4">
        <v>46108</v>
      </c>
      <c r="J557" s="4"/>
      <c r="K557" s="1" t="s">
        <v>55</v>
      </c>
      <c r="L557" s="1" t="str">
        <f t="shared" si="8"/>
        <v>Online</v>
      </c>
      <c r="M557" s="1"/>
      <c r="N557" s="1"/>
      <c r="O557" s="1"/>
      <c r="P557" s="1"/>
      <c r="Q557" s="1"/>
      <c r="R557" s="1"/>
      <c r="S557" s="1"/>
    </row>
    <row r="558" spans="1:19" ht="23" customHeight="1">
      <c r="A558" s="1" t="s">
        <v>615</v>
      </c>
      <c r="B558" s="4">
        <v>46044</v>
      </c>
      <c r="C558" s="1" t="s">
        <v>18</v>
      </c>
      <c r="D558" s="1" t="s">
        <v>65</v>
      </c>
      <c r="E558" s="5">
        <v>28000</v>
      </c>
      <c r="F558" s="1">
        <v>0</v>
      </c>
      <c r="G558" s="4">
        <v>46046</v>
      </c>
      <c r="H558" s="4">
        <v>46049</v>
      </c>
      <c r="I558" s="4">
        <v>46052</v>
      </c>
      <c r="J558" s="4"/>
      <c r="K558" s="1" t="s">
        <v>63</v>
      </c>
      <c r="L558" s="1" t="str">
        <f t="shared" si="8"/>
        <v>Branch</v>
      </c>
      <c r="M558" s="1"/>
      <c r="N558" s="1"/>
      <c r="O558" s="1"/>
      <c r="P558" s="1"/>
      <c r="Q558" s="1"/>
      <c r="R558" s="1"/>
      <c r="S558" s="1"/>
    </row>
    <row r="559" spans="1:19" ht="23" customHeight="1">
      <c r="A559" s="1" t="s">
        <v>616</v>
      </c>
      <c r="B559" s="4">
        <v>46110</v>
      </c>
      <c r="C559" s="1" t="s">
        <v>19</v>
      </c>
      <c r="D559" s="1" t="s">
        <v>54</v>
      </c>
      <c r="E559" s="5">
        <v>46000</v>
      </c>
      <c r="F559" s="1">
        <v>0</v>
      </c>
      <c r="G559" s="4">
        <v>46111</v>
      </c>
      <c r="H559" s="4"/>
      <c r="I559" s="4"/>
      <c r="J559" s="4"/>
      <c r="K559" s="1" t="s">
        <v>69</v>
      </c>
      <c r="L559" s="1" t="str">
        <f t="shared" si="8"/>
        <v>Online</v>
      </c>
      <c r="M559" s="1"/>
      <c r="N559" s="1"/>
      <c r="O559" s="1"/>
      <c r="P559" s="1"/>
      <c r="Q559" s="1"/>
      <c r="R559" s="1"/>
      <c r="S559" s="1"/>
    </row>
    <row r="560" spans="1:19" ht="23" customHeight="1">
      <c r="A560" s="1" t="s">
        <v>617</v>
      </c>
      <c r="B560" s="4">
        <v>46047</v>
      </c>
      <c r="C560" s="1" t="s">
        <v>18</v>
      </c>
      <c r="D560" s="1" t="s">
        <v>59</v>
      </c>
      <c r="E560" s="5">
        <v>50000</v>
      </c>
      <c r="F560" s="1">
        <v>0</v>
      </c>
      <c r="G560" s="4">
        <v>46047</v>
      </c>
      <c r="H560" s="4">
        <v>46049</v>
      </c>
      <c r="I560" s="4">
        <v>46051</v>
      </c>
      <c r="J560" s="4"/>
      <c r="K560" s="1" t="s">
        <v>63</v>
      </c>
      <c r="L560" s="1" t="str">
        <f t="shared" si="8"/>
        <v>Branch</v>
      </c>
      <c r="M560" s="1"/>
      <c r="N560" s="1"/>
      <c r="O560" s="1"/>
      <c r="P560" s="1"/>
      <c r="Q560" s="1"/>
      <c r="R560" s="1"/>
      <c r="S560" s="1"/>
    </row>
    <row r="561" spans="1:19" ht="23" customHeight="1">
      <c r="A561" s="1" t="s">
        <v>618</v>
      </c>
      <c r="B561" s="4">
        <v>46028</v>
      </c>
      <c r="C561" s="1" t="s">
        <v>18</v>
      </c>
      <c r="D561" s="1" t="s">
        <v>65</v>
      </c>
      <c r="E561" s="5">
        <v>12000</v>
      </c>
      <c r="F561" s="1">
        <v>0</v>
      </c>
      <c r="G561" s="4">
        <v>46028</v>
      </c>
      <c r="H561" s="4">
        <v>46030</v>
      </c>
      <c r="I561" s="4">
        <v>46031</v>
      </c>
      <c r="J561" s="4"/>
      <c r="K561" s="1" t="s">
        <v>63</v>
      </c>
      <c r="L561" s="1" t="str">
        <f t="shared" si="8"/>
        <v>Branch</v>
      </c>
      <c r="M561" s="1"/>
      <c r="N561" s="1"/>
      <c r="O561" s="1"/>
      <c r="P561" s="1"/>
      <c r="Q561" s="1"/>
      <c r="R561" s="1"/>
      <c r="S561" s="1"/>
    </row>
    <row r="562" spans="1:19" ht="23" customHeight="1">
      <c r="A562" s="1" t="s">
        <v>619</v>
      </c>
      <c r="B562" s="4">
        <v>46046</v>
      </c>
      <c r="C562" s="1" t="s">
        <v>18</v>
      </c>
      <c r="D562" s="1" t="s">
        <v>65</v>
      </c>
      <c r="E562" s="5">
        <v>7000</v>
      </c>
      <c r="F562" s="1">
        <v>1</v>
      </c>
      <c r="G562" s="4">
        <v>46054</v>
      </c>
      <c r="H562" s="4">
        <v>46056</v>
      </c>
      <c r="I562" s="4">
        <v>46057</v>
      </c>
      <c r="J562" s="4"/>
      <c r="K562" s="1" t="s">
        <v>55</v>
      </c>
      <c r="L562" s="1" t="str">
        <f t="shared" si="8"/>
        <v>Branch</v>
      </c>
      <c r="M562" s="1"/>
      <c r="N562" s="1"/>
      <c r="O562" s="1"/>
      <c r="P562" s="1"/>
      <c r="Q562" s="1"/>
      <c r="R562" s="1"/>
      <c r="S562" s="1"/>
    </row>
    <row r="563" spans="1:19" ht="23" customHeight="1">
      <c r="A563" s="1" t="s">
        <v>620</v>
      </c>
      <c r="B563" s="4">
        <v>46074</v>
      </c>
      <c r="C563" s="1" t="s">
        <v>18</v>
      </c>
      <c r="D563" s="1" t="s">
        <v>71</v>
      </c>
      <c r="E563" s="5">
        <v>35000</v>
      </c>
      <c r="F563" s="1">
        <v>1</v>
      </c>
      <c r="G563" s="4">
        <v>46080</v>
      </c>
      <c r="H563" s="4">
        <v>46086</v>
      </c>
      <c r="I563" s="4">
        <v>46087</v>
      </c>
      <c r="J563" s="4"/>
      <c r="K563" s="1" t="s">
        <v>55</v>
      </c>
      <c r="L563" s="1" t="str">
        <f t="shared" si="8"/>
        <v>Branch</v>
      </c>
      <c r="M563" s="1"/>
      <c r="N563" s="1"/>
      <c r="O563" s="1"/>
      <c r="P563" s="1"/>
      <c r="Q563" s="1"/>
      <c r="R563" s="1"/>
      <c r="S563" s="1"/>
    </row>
    <row r="564" spans="1:19" ht="23" customHeight="1">
      <c r="A564" s="1" t="s">
        <v>621</v>
      </c>
      <c r="B564" s="4">
        <v>46030</v>
      </c>
      <c r="C564" s="1" t="s">
        <v>19</v>
      </c>
      <c r="D564" s="1" t="s">
        <v>54</v>
      </c>
      <c r="E564" s="5">
        <v>6000</v>
      </c>
      <c r="F564" s="1">
        <v>1</v>
      </c>
      <c r="G564" s="4">
        <v>46037</v>
      </c>
      <c r="H564" s="4">
        <v>46039</v>
      </c>
      <c r="I564" s="4">
        <v>46040</v>
      </c>
      <c r="J564" s="4"/>
      <c r="K564" s="1" t="s">
        <v>55</v>
      </c>
      <c r="L564" s="1" t="str">
        <f t="shared" si="8"/>
        <v>Online</v>
      </c>
      <c r="M564" s="1"/>
      <c r="N564" s="1"/>
      <c r="O564" s="1"/>
      <c r="P564" s="1"/>
      <c r="Q564" s="1"/>
      <c r="R564" s="1"/>
      <c r="S564" s="1"/>
    </row>
    <row r="565" spans="1:19" ht="23" customHeight="1">
      <c r="A565" s="1" t="s">
        <v>622</v>
      </c>
      <c r="B565" s="4">
        <v>46043</v>
      </c>
      <c r="C565" s="1" t="s">
        <v>19</v>
      </c>
      <c r="D565" s="1" t="s">
        <v>54</v>
      </c>
      <c r="E565" s="5">
        <v>22000</v>
      </c>
      <c r="F565" s="1">
        <v>0</v>
      </c>
      <c r="G565" s="4">
        <v>46044</v>
      </c>
      <c r="H565" s="4">
        <v>46047</v>
      </c>
      <c r="I565" s="4">
        <v>46050</v>
      </c>
      <c r="J565" s="4"/>
      <c r="K565" s="1" t="s">
        <v>55</v>
      </c>
      <c r="L565" s="1" t="str">
        <f t="shared" si="8"/>
        <v>Online</v>
      </c>
      <c r="M565" s="1"/>
      <c r="N565" s="1"/>
      <c r="O565" s="1"/>
      <c r="P565" s="1"/>
      <c r="Q565" s="1"/>
      <c r="R565" s="1"/>
      <c r="S565" s="1"/>
    </row>
    <row r="566" spans="1:19" ht="23" customHeight="1">
      <c r="A566" s="1" t="s">
        <v>623</v>
      </c>
      <c r="B566" s="4">
        <v>46078</v>
      </c>
      <c r="C566" s="1" t="s">
        <v>18</v>
      </c>
      <c r="D566" s="1" t="s">
        <v>65</v>
      </c>
      <c r="E566" s="5">
        <v>30000</v>
      </c>
      <c r="F566" s="1">
        <v>1</v>
      </c>
      <c r="G566" s="4">
        <v>46084</v>
      </c>
      <c r="H566" s="4">
        <v>46085</v>
      </c>
      <c r="I566" s="4">
        <v>46087</v>
      </c>
      <c r="J566" s="4"/>
      <c r="K566" s="1" t="s">
        <v>55</v>
      </c>
      <c r="L566" s="1" t="str">
        <f t="shared" si="8"/>
        <v>Branch</v>
      </c>
      <c r="M566" s="1"/>
      <c r="N566" s="1"/>
      <c r="O566" s="1"/>
      <c r="P566" s="1"/>
      <c r="Q566" s="1"/>
      <c r="R566" s="1"/>
      <c r="S566" s="1"/>
    </row>
    <row r="567" spans="1:19" ht="23" customHeight="1">
      <c r="A567" s="1" t="s">
        <v>624</v>
      </c>
      <c r="B567" s="4">
        <v>46080</v>
      </c>
      <c r="C567" s="1" t="s">
        <v>18</v>
      </c>
      <c r="D567" s="1" t="s">
        <v>65</v>
      </c>
      <c r="E567" s="5">
        <v>13000</v>
      </c>
      <c r="F567" s="1">
        <v>0</v>
      </c>
      <c r="G567" s="4">
        <v>46081</v>
      </c>
      <c r="H567" s="4">
        <v>46085</v>
      </c>
      <c r="I567" s="4">
        <v>46087</v>
      </c>
      <c r="J567" s="4"/>
      <c r="K567" s="1" t="s">
        <v>63</v>
      </c>
      <c r="L567" s="1" t="str">
        <f t="shared" si="8"/>
        <v>Branch</v>
      </c>
      <c r="M567" s="1"/>
      <c r="N567" s="1"/>
      <c r="O567" s="1"/>
      <c r="P567" s="1"/>
      <c r="Q567" s="1"/>
      <c r="R567" s="1"/>
      <c r="S567" s="1"/>
    </row>
    <row r="568" spans="1:19" ht="23" customHeight="1">
      <c r="A568" s="1" t="s">
        <v>625</v>
      </c>
      <c r="B568" s="4">
        <v>46048</v>
      </c>
      <c r="C568" s="1" t="s">
        <v>18</v>
      </c>
      <c r="D568" s="1" t="s">
        <v>65</v>
      </c>
      <c r="E568" s="5">
        <v>23000</v>
      </c>
      <c r="F568" s="1">
        <v>1</v>
      </c>
      <c r="G568" s="4">
        <v>46054</v>
      </c>
      <c r="H568" s="4">
        <v>46060</v>
      </c>
      <c r="I568" s="4">
        <v>46061</v>
      </c>
      <c r="J568" s="4"/>
      <c r="K568" s="1" t="s">
        <v>55</v>
      </c>
      <c r="L568" s="1" t="str">
        <f t="shared" si="8"/>
        <v>Branch</v>
      </c>
      <c r="M568" s="1"/>
      <c r="N568" s="1"/>
      <c r="O568" s="1"/>
      <c r="P568" s="1"/>
      <c r="Q568" s="1"/>
      <c r="R568" s="1"/>
      <c r="S568" s="1"/>
    </row>
    <row r="569" spans="1:19" ht="23" customHeight="1">
      <c r="A569" s="1" t="s">
        <v>626</v>
      </c>
      <c r="B569" s="4">
        <v>46036</v>
      </c>
      <c r="C569" s="1" t="s">
        <v>19</v>
      </c>
      <c r="D569" s="1" t="s">
        <v>54</v>
      </c>
      <c r="E569" s="5">
        <v>26000</v>
      </c>
      <c r="F569" s="1">
        <v>0</v>
      </c>
      <c r="G569" s="4">
        <v>46036</v>
      </c>
      <c r="H569" s="4">
        <v>46039</v>
      </c>
      <c r="I569" s="4">
        <v>46042</v>
      </c>
      <c r="J569" s="4"/>
      <c r="K569" s="1" t="s">
        <v>63</v>
      </c>
      <c r="L569" s="1" t="str">
        <f t="shared" si="8"/>
        <v>Online</v>
      </c>
      <c r="M569" s="1"/>
      <c r="N569" s="1"/>
      <c r="O569" s="1"/>
      <c r="P569" s="1"/>
      <c r="Q569" s="1"/>
      <c r="R569" s="1"/>
      <c r="S569" s="1"/>
    </row>
    <row r="570" spans="1:19" ht="23" customHeight="1">
      <c r="A570" s="1" t="s">
        <v>627</v>
      </c>
      <c r="B570" s="4">
        <v>46038</v>
      </c>
      <c r="C570" s="1" t="s">
        <v>18</v>
      </c>
      <c r="D570" s="1" t="s">
        <v>59</v>
      </c>
      <c r="E570" s="5">
        <v>32000</v>
      </c>
      <c r="F570" s="1">
        <v>0</v>
      </c>
      <c r="G570" s="4">
        <v>46039</v>
      </c>
      <c r="H570" s="4">
        <v>46042</v>
      </c>
      <c r="I570" s="4">
        <v>46045</v>
      </c>
      <c r="J570" s="4"/>
      <c r="K570" s="1" t="s">
        <v>55</v>
      </c>
      <c r="L570" s="1" t="str">
        <f t="shared" si="8"/>
        <v>Branch</v>
      </c>
      <c r="M570" s="1"/>
      <c r="N570" s="1"/>
      <c r="O570" s="1"/>
      <c r="P570" s="1"/>
      <c r="Q570" s="1"/>
      <c r="R570" s="1"/>
      <c r="S570" s="1"/>
    </row>
    <row r="571" spans="1:19" ht="23" customHeight="1">
      <c r="A571" s="1" t="s">
        <v>628</v>
      </c>
      <c r="B571" s="4">
        <v>46094</v>
      </c>
      <c r="C571" s="1" t="s">
        <v>18</v>
      </c>
      <c r="D571" s="1" t="s">
        <v>59</v>
      </c>
      <c r="E571" s="5">
        <v>11000</v>
      </c>
      <c r="F571" s="1">
        <v>1</v>
      </c>
      <c r="G571" s="4">
        <v>46102</v>
      </c>
      <c r="H571" s="4">
        <v>46108</v>
      </c>
      <c r="I571" s="4">
        <v>46109</v>
      </c>
      <c r="J571" s="4"/>
      <c r="K571" s="1" t="s">
        <v>55</v>
      </c>
      <c r="L571" s="1" t="str">
        <f t="shared" si="8"/>
        <v>Branch</v>
      </c>
      <c r="M571" s="1"/>
      <c r="N571" s="1"/>
      <c r="O571" s="1"/>
      <c r="P571" s="1"/>
      <c r="Q571" s="1"/>
      <c r="R571" s="1"/>
      <c r="S571" s="1"/>
    </row>
    <row r="572" spans="1:19" ht="23" customHeight="1">
      <c r="A572" s="1" t="s">
        <v>629</v>
      </c>
      <c r="B572" s="4">
        <v>46050</v>
      </c>
      <c r="C572" s="1" t="s">
        <v>19</v>
      </c>
      <c r="D572" s="1" t="s">
        <v>54</v>
      </c>
      <c r="E572" s="5">
        <v>42000</v>
      </c>
      <c r="F572" s="1">
        <v>0</v>
      </c>
      <c r="G572" s="4">
        <v>46051</v>
      </c>
      <c r="H572" s="4">
        <v>46054</v>
      </c>
      <c r="I572" s="4">
        <v>46057</v>
      </c>
      <c r="J572" s="4"/>
      <c r="K572" s="1" t="s">
        <v>55</v>
      </c>
      <c r="L572" s="1" t="str">
        <f t="shared" si="8"/>
        <v>Online</v>
      </c>
      <c r="M572" s="1"/>
      <c r="N572" s="1"/>
      <c r="O572" s="1"/>
      <c r="P572" s="1"/>
      <c r="Q572" s="1"/>
      <c r="R572" s="1"/>
      <c r="S572" s="1"/>
    </row>
    <row r="573" spans="1:19" ht="23" customHeight="1">
      <c r="A573" s="1" t="s">
        <v>630</v>
      </c>
      <c r="B573" s="4">
        <v>46112</v>
      </c>
      <c r="C573" s="1" t="s">
        <v>18</v>
      </c>
      <c r="D573" s="1" t="s">
        <v>62</v>
      </c>
      <c r="E573" s="5">
        <v>16000</v>
      </c>
      <c r="F573" s="1">
        <v>0</v>
      </c>
      <c r="G573" s="4"/>
      <c r="H573" s="4"/>
      <c r="I573" s="4"/>
      <c r="J573" s="4"/>
      <c r="K573" s="1" t="s">
        <v>69</v>
      </c>
      <c r="L573" s="1" t="str">
        <f t="shared" si="8"/>
        <v>Branch</v>
      </c>
      <c r="M573" s="1"/>
      <c r="N573" s="1"/>
      <c r="O573" s="1"/>
      <c r="P573" s="1"/>
      <c r="Q573" s="1"/>
      <c r="R573" s="1"/>
      <c r="S573" s="1"/>
    </row>
    <row r="574" spans="1:19" ht="23" customHeight="1">
      <c r="A574" s="1" t="s">
        <v>631</v>
      </c>
      <c r="B574" s="4">
        <v>46032</v>
      </c>
      <c r="C574" s="1" t="s">
        <v>19</v>
      </c>
      <c r="D574" s="1" t="s">
        <v>54</v>
      </c>
      <c r="E574" s="5">
        <v>36000</v>
      </c>
      <c r="F574" s="1">
        <v>1</v>
      </c>
      <c r="G574" s="4">
        <v>46037</v>
      </c>
      <c r="H574" s="4">
        <v>46043</v>
      </c>
      <c r="I574" s="4">
        <v>46046</v>
      </c>
      <c r="J574" s="4"/>
      <c r="K574" s="1" t="s">
        <v>63</v>
      </c>
      <c r="L574" s="1" t="str">
        <f t="shared" si="8"/>
        <v>Online</v>
      </c>
      <c r="M574" s="1"/>
      <c r="N574" s="1"/>
      <c r="O574" s="1"/>
      <c r="P574" s="1"/>
      <c r="Q574" s="1"/>
      <c r="R574" s="1"/>
      <c r="S574" s="1"/>
    </row>
    <row r="575" spans="1:19" ht="23" customHeight="1">
      <c r="A575" s="1" t="s">
        <v>632</v>
      </c>
      <c r="B575" s="4">
        <v>46048</v>
      </c>
      <c r="C575" s="1" t="s">
        <v>18</v>
      </c>
      <c r="D575" s="1" t="s">
        <v>62</v>
      </c>
      <c r="E575" s="5">
        <v>34000</v>
      </c>
      <c r="F575" s="1">
        <v>1</v>
      </c>
      <c r="G575" s="4">
        <v>46058</v>
      </c>
      <c r="H575" s="4">
        <v>46063</v>
      </c>
      <c r="I575" s="4">
        <v>46064</v>
      </c>
      <c r="J575" s="4"/>
      <c r="K575" s="1" t="s">
        <v>55</v>
      </c>
      <c r="L575" s="1" t="str">
        <f t="shared" si="8"/>
        <v>Branch</v>
      </c>
      <c r="M575" s="1"/>
      <c r="N575" s="1"/>
      <c r="O575" s="1"/>
      <c r="P575" s="1"/>
      <c r="Q575" s="1"/>
      <c r="R575" s="1"/>
      <c r="S575" s="1"/>
    </row>
    <row r="576" spans="1:19" ht="23" customHeight="1">
      <c r="A576" s="1" t="s">
        <v>633</v>
      </c>
      <c r="B576" s="4">
        <v>46052</v>
      </c>
      <c r="C576" s="1" t="s">
        <v>19</v>
      </c>
      <c r="D576" s="1" t="s">
        <v>54</v>
      </c>
      <c r="E576" s="5">
        <v>12000</v>
      </c>
      <c r="F576" s="1">
        <v>1</v>
      </c>
      <c r="G576" s="4">
        <v>46058</v>
      </c>
      <c r="H576" s="4">
        <v>46059</v>
      </c>
      <c r="I576" s="4">
        <v>46060</v>
      </c>
      <c r="J576" s="4"/>
      <c r="K576" s="1" t="s">
        <v>55</v>
      </c>
      <c r="L576" s="1" t="str">
        <f t="shared" si="8"/>
        <v>Online</v>
      </c>
      <c r="M576" s="1"/>
      <c r="N576" s="1"/>
      <c r="O576" s="1"/>
      <c r="P576" s="1"/>
      <c r="Q576" s="1"/>
      <c r="R576" s="1"/>
      <c r="S576" s="1"/>
    </row>
    <row r="577" spans="1:19" ht="23" customHeight="1">
      <c r="A577" s="1" t="s">
        <v>634</v>
      </c>
      <c r="B577" s="4">
        <v>46063</v>
      </c>
      <c r="C577" s="1" t="s">
        <v>18</v>
      </c>
      <c r="D577" s="1" t="s">
        <v>59</v>
      </c>
      <c r="E577" s="5">
        <v>46000</v>
      </c>
      <c r="F577" s="1">
        <v>1</v>
      </c>
      <c r="G577" s="4">
        <v>46072</v>
      </c>
      <c r="H577" s="4">
        <v>46078</v>
      </c>
      <c r="I577" s="4">
        <v>46080</v>
      </c>
      <c r="J577" s="4"/>
      <c r="K577" s="1" t="s">
        <v>55</v>
      </c>
      <c r="L577" s="1" t="str">
        <f t="shared" si="8"/>
        <v>Branch</v>
      </c>
      <c r="M577" s="1"/>
      <c r="N577" s="1"/>
      <c r="O577" s="1"/>
      <c r="P577" s="1"/>
      <c r="Q577" s="1"/>
      <c r="R577" s="1"/>
      <c r="S577" s="1"/>
    </row>
    <row r="578" spans="1:19" ht="23" customHeight="1">
      <c r="A578" s="1" t="s">
        <v>635</v>
      </c>
      <c r="B578" s="4">
        <v>46098</v>
      </c>
      <c r="C578" s="1" t="s">
        <v>18</v>
      </c>
      <c r="D578" s="1" t="s">
        <v>62</v>
      </c>
      <c r="E578" s="5">
        <v>25000</v>
      </c>
      <c r="F578" s="1">
        <v>1</v>
      </c>
      <c r="G578" s="4">
        <v>46104</v>
      </c>
      <c r="H578" s="4">
        <v>46108</v>
      </c>
      <c r="I578" s="4">
        <v>46111</v>
      </c>
      <c r="J578" s="4"/>
      <c r="K578" s="1" t="s">
        <v>55</v>
      </c>
      <c r="L578" s="1" t="str">
        <f t="shared" si="8"/>
        <v>Branch</v>
      </c>
      <c r="M578" s="1"/>
      <c r="N578" s="1"/>
      <c r="O578" s="1"/>
      <c r="P578" s="1"/>
      <c r="Q578" s="1"/>
      <c r="R578" s="1"/>
      <c r="S578" s="1"/>
    </row>
    <row r="579" spans="1:19" ht="23" customHeight="1">
      <c r="A579" s="1" t="s">
        <v>636</v>
      </c>
      <c r="B579" s="4">
        <v>46091</v>
      </c>
      <c r="C579" s="1" t="s">
        <v>18</v>
      </c>
      <c r="D579" s="1" t="s">
        <v>59</v>
      </c>
      <c r="E579" s="5">
        <v>27000</v>
      </c>
      <c r="F579" s="1">
        <v>0</v>
      </c>
      <c r="G579" s="4">
        <v>46091</v>
      </c>
      <c r="H579" s="4">
        <v>46095</v>
      </c>
      <c r="I579" s="4">
        <v>46098</v>
      </c>
      <c r="J579" s="4"/>
      <c r="K579" s="1" t="s">
        <v>55</v>
      </c>
      <c r="L579" s="1" t="str">
        <f t="shared" si="8"/>
        <v>Branch</v>
      </c>
      <c r="M579" s="1"/>
      <c r="N579" s="1"/>
      <c r="O579" s="1"/>
      <c r="P579" s="1"/>
      <c r="Q579" s="1"/>
      <c r="R579" s="1"/>
      <c r="S579" s="1"/>
    </row>
    <row r="580" spans="1:19" ht="23" customHeight="1">
      <c r="A580" s="1" t="s">
        <v>637</v>
      </c>
      <c r="B580" s="4">
        <v>46083</v>
      </c>
      <c r="C580" s="1" t="s">
        <v>19</v>
      </c>
      <c r="D580" s="1" t="s">
        <v>54</v>
      </c>
      <c r="E580" s="5">
        <v>45000</v>
      </c>
      <c r="F580" s="1">
        <v>0</v>
      </c>
      <c r="G580" s="4">
        <v>46085</v>
      </c>
      <c r="H580" s="4">
        <v>46091</v>
      </c>
      <c r="I580" s="4">
        <v>46092</v>
      </c>
      <c r="J580" s="4"/>
      <c r="K580" s="1" t="s">
        <v>55</v>
      </c>
      <c r="L580" s="1" t="str">
        <f t="shared" si="8"/>
        <v>Online</v>
      </c>
      <c r="M580" s="1"/>
      <c r="N580" s="1"/>
      <c r="O580" s="1"/>
      <c r="P580" s="1"/>
      <c r="Q580" s="1"/>
      <c r="R580" s="1"/>
      <c r="S580" s="1"/>
    </row>
    <row r="581" spans="1:19" ht="23" customHeight="1">
      <c r="A581" s="1" t="s">
        <v>638</v>
      </c>
      <c r="B581" s="4">
        <v>46076</v>
      </c>
      <c r="C581" s="1" t="s">
        <v>18</v>
      </c>
      <c r="D581" s="1" t="s">
        <v>62</v>
      </c>
      <c r="E581" s="5">
        <v>44000</v>
      </c>
      <c r="F581" s="1">
        <v>0</v>
      </c>
      <c r="G581" s="4">
        <v>46077</v>
      </c>
      <c r="H581" s="4">
        <v>46085</v>
      </c>
      <c r="I581" s="4">
        <v>46088</v>
      </c>
      <c r="J581" s="4"/>
      <c r="K581" s="1" t="s">
        <v>55</v>
      </c>
      <c r="L581" s="1" t="str">
        <f t="shared" ref="L581:L604" si="9">PROPER(TRIM(C581))</f>
        <v>Branch</v>
      </c>
      <c r="M581" s="1"/>
      <c r="N581" s="1"/>
      <c r="O581" s="1"/>
      <c r="P581" s="1"/>
      <c r="Q581" s="1"/>
      <c r="R581" s="1"/>
      <c r="S581" s="1"/>
    </row>
    <row r="582" spans="1:19" ht="23" customHeight="1">
      <c r="A582" s="1" t="s">
        <v>639</v>
      </c>
      <c r="B582" s="4">
        <v>46108</v>
      </c>
      <c r="C582" s="1" t="s">
        <v>19</v>
      </c>
      <c r="D582" s="1" t="s">
        <v>54</v>
      </c>
      <c r="E582" s="5">
        <v>32000</v>
      </c>
      <c r="F582" s="1">
        <v>0</v>
      </c>
      <c r="G582" s="4">
        <v>46108</v>
      </c>
      <c r="H582" s="4"/>
      <c r="I582" s="4"/>
      <c r="J582" s="4"/>
      <c r="K582" s="1" t="s">
        <v>69</v>
      </c>
      <c r="L582" s="1" t="str">
        <f t="shared" si="9"/>
        <v>Online</v>
      </c>
      <c r="M582" s="1"/>
      <c r="N582" s="1"/>
      <c r="O582" s="1"/>
      <c r="P582" s="1"/>
      <c r="Q582" s="1"/>
      <c r="R582" s="1"/>
      <c r="S582" s="1"/>
    </row>
    <row r="583" spans="1:19" ht="23" customHeight="1">
      <c r="A583" s="1" t="s">
        <v>640</v>
      </c>
      <c r="B583" s="4">
        <v>46057</v>
      </c>
      <c r="C583" s="1" t="s">
        <v>19</v>
      </c>
      <c r="D583" s="1" t="s">
        <v>54</v>
      </c>
      <c r="E583" s="5">
        <v>24000</v>
      </c>
      <c r="F583" s="1">
        <v>1</v>
      </c>
      <c r="G583" s="4">
        <v>46066</v>
      </c>
      <c r="H583" s="4">
        <v>46067</v>
      </c>
      <c r="I583" s="4">
        <v>46070</v>
      </c>
      <c r="J583" s="4"/>
      <c r="K583" s="1" t="s">
        <v>55</v>
      </c>
      <c r="L583" s="1" t="str">
        <f t="shared" si="9"/>
        <v>Online</v>
      </c>
      <c r="M583" s="1"/>
      <c r="N583" s="1"/>
      <c r="O583" s="1"/>
      <c r="P583" s="1"/>
      <c r="Q583" s="1"/>
      <c r="R583" s="1"/>
      <c r="S583" s="1"/>
    </row>
    <row r="584" spans="1:19" ht="23" customHeight="1">
      <c r="A584" s="1" t="s">
        <v>641</v>
      </c>
      <c r="B584" s="4">
        <v>46057</v>
      </c>
      <c r="C584" s="1" t="s">
        <v>19</v>
      </c>
      <c r="D584" s="1" t="s">
        <v>54</v>
      </c>
      <c r="E584" s="5">
        <v>35000</v>
      </c>
      <c r="F584" s="1">
        <v>0</v>
      </c>
      <c r="G584" s="4">
        <v>46058</v>
      </c>
      <c r="H584" s="4">
        <v>46063</v>
      </c>
      <c r="I584" s="4">
        <v>46064</v>
      </c>
      <c r="J584" s="4"/>
      <c r="K584" s="1" t="s">
        <v>55</v>
      </c>
      <c r="L584" s="1" t="str">
        <f t="shared" si="9"/>
        <v>Online</v>
      </c>
      <c r="M584" s="1"/>
      <c r="N584" s="1"/>
      <c r="O584" s="1"/>
      <c r="P584" s="1"/>
      <c r="Q584" s="1"/>
      <c r="R584" s="1"/>
      <c r="S584" s="1"/>
    </row>
    <row r="585" spans="1:19" ht="23" customHeight="1">
      <c r="A585" s="1" t="s">
        <v>642</v>
      </c>
      <c r="B585" s="4">
        <v>46101</v>
      </c>
      <c r="C585" s="1" t="s">
        <v>19</v>
      </c>
      <c r="D585" s="1" t="s">
        <v>54</v>
      </c>
      <c r="E585" s="5">
        <v>29000</v>
      </c>
      <c r="F585" s="1">
        <v>1</v>
      </c>
      <c r="G585" s="4">
        <v>46107</v>
      </c>
      <c r="H585" s="4">
        <v>46111</v>
      </c>
      <c r="I585" s="4">
        <v>46112</v>
      </c>
      <c r="J585" s="4"/>
      <c r="K585" s="1" t="s">
        <v>55</v>
      </c>
      <c r="L585" s="1" t="str">
        <f t="shared" si="9"/>
        <v>Online</v>
      </c>
      <c r="M585" s="1"/>
      <c r="N585" s="1"/>
      <c r="O585" s="1"/>
      <c r="P585" s="1"/>
      <c r="Q585" s="1"/>
      <c r="R585" s="1"/>
      <c r="S585" s="1"/>
    </row>
    <row r="586" spans="1:19" ht="23" customHeight="1">
      <c r="A586" s="1" t="s">
        <v>643</v>
      </c>
      <c r="B586" s="4">
        <v>46062</v>
      </c>
      <c r="C586" s="1" t="s">
        <v>18</v>
      </c>
      <c r="D586" s="1" t="s">
        <v>71</v>
      </c>
      <c r="E586" s="5">
        <v>22000</v>
      </c>
      <c r="F586" s="1">
        <v>0</v>
      </c>
      <c r="G586" s="4">
        <v>46062</v>
      </c>
      <c r="H586" s="4">
        <v>46066</v>
      </c>
      <c r="I586" s="4">
        <v>46068</v>
      </c>
      <c r="J586" s="4"/>
      <c r="K586" s="1" t="s">
        <v>55</v>
      </c>
      <c r="L586" s="1" t="str">
        <f t="shared" si="9"/>
        <v>Branch</v>
      </c>
      <c r="M586" s="1"/>
      <c r="N586" s="1"/>
      <c r="O586" s="1"/>
      <c r="P586" s="1"/>
      <c r="Q586" s="1"/>
      <c r="R586" s="1"/>
      <c r="S586" s="1"/>
    </row>
    <row r="587" spans="1:19" ht="23" customHeight="1">
      <c r="A587" s="1" t="s">
        <v>644</v>
      </c>
      <c r="B587" s="4">
        <v>46050</v>
      </c>
      <c r="C587" s="1" t="s">
        <v>18</v>
      </c>
      <c r="D587" s="1" t="s">
        <v>65</v>
      </c>
      <c r="E587" s="5">
        <v>17000</v>
      </c>
      <c r="F587" s="1">
        <v>0</v>
      </c>
      <c r="G587" s="4">
        <v>46052</v>
      </c>
      <c r="H587" s="4">
        <v>46056</v>
      </c>
      <c r="I587" s="4">
        <v>46059</v>
      </c>
      <c r="J587" s="4"/>
      <c r="K587" s="1" t="s">
        <v>63</v>
      </c>
      <c r="L587" s="1" t="str">
        <f t="shared" si="9"/>
        <v>Branch</v>
      </c>
      <c r="M587" s="1"/>
      <c r="N587" s="1"/>
      <c r="O587" s="1"/>
      <c r="P587" s="1"/>
      <c r="Q587" s="1"/>
      <c r="R587" s="1"/>
      <c r="S587" s="1"/>
    </row>
    <row r="588" spans="1:19" ht="23" customHeight="1">
      <c r="A588" s="1" t="s">
        <v>645</v>
      </c>
      <c r="B588" s="4">
        <v>46092</v>
      </c>
      <c r="C588" s="1" t="s">
        <v>19</v>
      </c>
      <c r="D588" s="1" t="s">
        <v>54</v>
      </c>
      <c r="E588" s="5">
        <v>8000</v>
      </c>
      <c r="F588" s="1">
        <v>0</v>
      </c>
      <c r="G588" s="4">
        <v>46094</v>
      </c>
      <c r="H588" s="4">
        <v>46097</v>
      </c>
      <c r="I588" s="4">
        <v>46100</v>
      </c>
      <c r="J588" s="4"/>
      <c r="K588" s="1" t="s">
        <v>63</v>
      </c>
      <c r="L588" s="1" t="str">
        <f t="shared" si="9"/>
        <v>Online</v>
      </c>
      <c r="M588" s="1"/>
      <c r="N588" s="1"/>
      <c r="O588" s="1"/>
      <c r="P588" s="1"/>
      <c r="Q588" s="1"/>
      <c r="R588" s="1"/>
      <c r="S588" s="1"/>
    </row>
    <row r="589" spans="1:19" ht="23" customHeight="1">
      <c r="A589" s="1" t="s">
        <v>646</v>
      </c>
      <c r="B589" s="4">
        <v>46027</v>
      </c>
      <c r="C589" s="1" t="s">
        <v>19</v>
      </c>
      <c r="D589" s="1" t="s">
        <v>54</v>
      </c>
      <c r="E589" s="5">
        <v>27000</v>
      </c>
      <c r="F589" s="1">
        <v>0</v>
      </c>
      <c r="G589" s="4">
        <v>46027</v>
      </c>
      <c r="H589" s="4">
        <v>46029</v>
      </c>
      <c r="I589" s="4">
        <v>46032</v>
      </c>
      <c r="J589" s="4"/>
      <c r="K589" s="1" t="s">
        <v>63</v>
      </c>
      <c r="L589" s="1" t="str">
        <f t="shared" si="9"/>
        <v>Online</v>
      </c>
      <c r="M589" s="1"/>
      <c r="N589" s="1"/>
      <c r="O589" s="1"/>
      <c r="P589" s="1"/>
      <c r="Q589" s="1"/>
      <c r="R589" s="1"/>
      <c r="S589" s="1"/>
    </row>
    <row r="590" spans="1:19" ht="23" customHeight="1">
      <c r="A590" s="1" t="s">
        <v>647</v>
      </c>
      <c r="B590" s="4">
        <v>46045</v>
      </c>
      <c r="C590" s="1" t="s">
        <v>18</v>
      </c>
      <c r="D590" s="1" t="s">
        <v>59</v>
      </c>
      <c r="E590" s="5">
        <v>22000</v>
      </c>
      <c r="F590" s="1">
        <v>0</v>
      </c>
      <c r="G590" s="4">
        <v>46046</v>
      </c>
      <c r="H590" s="4">
        <v>46049</v>
      </c>
      <c r="I590" s="4">
        <v>46052</v>
      </c>
      <c r="J590" s="4"/>
      <c r="K590" s="1" t="s">
        <v>63</v>
      </c>
      <c r="L590" s="1" t="str">
        <f t="shared" si="9"/>
        <v>Branch</v>
      </c>
      <c r="M590" s="1"/>
      <c r="N590" s="1"/>
      <c r="O590" s="1"/>
      <c r="P590" s="1"/>
      <c r="Q590" s="1"/>
      <c r="R590" s="1"/>
      <c r="S590" s="1"/>
    </row>
    <row r="591" spans="1:19" ht="23" customHeight="1">
      <c r="A591" s="1" t="s">
        <v>648</v>
      </c>
      <c r="B591" s="4">
        <v>46088</v>
      </c>
      <c r="C591" s="1" t="s">
        <v>19</v>
      </c>
      <c r="D591" s="1" t="s">
        <v>54</v>
      </c>
      <c r="E591" s="5">
        <v>10000</v>
      </c>
      <c r="F591" s="1">
        <v>0</v>
      </c>
      <c r="G591" s="4">
        <v>46089</v>
      </c>
      <c r="H591" s="4">
        <v>46090</v>
      </c>
      <c r="I591" s="4">
        <v>46093</v>
      </c>
      <c r="J591" s="4"/>
      <c r="K591" s="1" t="s">
        <v>63</v>
      </c>
      <c r="L591" s="1" t="str">
        <f t="shared" si="9"/>
        <v>Online</v>
      </c>
      <c r="M591" s="1"/>
      <c r="N591" s="1"/>
      <c r="O591" s="1"/>
      <c r="P591" s="1"/>
      <c r="Q591" s="1"/>
      <c r="R591" s="1"/>
      <c r="S591" s="1"/>
    </row>
    <row r="592" spans="1:19" ht="23" customHeight="1">
      <c r="A592" s="1" t="s">
        <v>649</v>
      </c>
      <c r="B592" s="4">
        <v>46069</v>
      </c>
      <c r="C592" s="1" t="s">
        <v>18</v>
      </c>
      <c r="D592" s="1" t="s">
        <v>59</v>
      </c>
      <c r="E592" s="5">
        <v>39000</v>
      </c>
      <c r="F592" s="1">
        <v>1</v>
      </c>
      <c r="G592" s="4">
        <v>46077</v>
      </c>
      <c r="H592" s="4">
        <v>46082</v>
      </c>
      <c r="I592" s="4">
        <v>46083</v>
      </c>
      <c r="J592" s="4"/>
      <c r="K592" s="1" t="s">
        <v>55</v>
      </c>
      <c r="L592" s="1" t="str">
        <f t="shared" si="9"/>
        <v>Branch</v>
      </c>
      <c r="M592" s="1"/>
      <c r="N592" s="1"/>
      <c r="O592" s="1"/>
      <c r="P592" s="1"/>
      <c r="Q592" s="1"/>
      <c r="R592" s="1"/>
      <c r="S592" s="1"/>
    </row>
    <row r="593" spans="1:19" ht="23" customHeight="1">
      <c r="A593" s="1" t="s">
        <v>650</v>
      </c>
      <c r="B593" s="4">
        <v>46044</v>
      </c>
      <c r="C593" s="1" t="s">
        <v>18</v>
      </c>
      <c r="D593" s="1" t="s">
        <v>59</v>
      </c>
      <c r="E593" s="5">
        <v>42000</v>
      </c>
      <c r="F593" s="1">
        <v>0</v>
      </c>
      <c r="G593" s="4">
        <v>46046</v>
      </c>
      <c r="H593" s="4">
        <v>46047</v>
      </c>
      <c r="I593" s="4">
        <v>46048</v>
      </c>
      <c r="J593" s="4"/>
      <c r="K593" s="1" t="s">
        <v>55</v>
      </c>
      <c r="L593" s="1" t="str">
        <f t="shared" si="9"/>
        <v>Branch</v>
      </c>
      <c r="M593" s="1"/>
      <c r="N593" s="1"/>
      <c r="O593" s="1"/>
      <c r="P593" s="1"/>
      <c r="Q593" s="1"/>
      <c r="R593" s="1"/>
      <c r="S593" s="1"/>
    </row>
    <row r="594" spans="1:19" ht="23" customHeight="1">
      <c r="A594" s="1" t="s">
        <v>651</v>
      </c>
      <c r="B594" s="4">
        <v>46039</v>
      </c>
      <c r="C594" s="1" t="s">
        <v>18</v>
      </c>
      <c r="D594" s="1" t="s">
        <v>71</v>
      </c>
      <c r="E594" s="5">
        <v>30000</v>
      </c>
      <c r="F594" s="1">
        <v>0</v>
      </c>
      <c r="G594" s="4">
        <v>46040</v>
      </c>
      <c r="H594" s="4">
        <v>46043</v>
      </c>
      <c r="I594" s="4">
        <v>46044</v>
      </c>
      <c r="J594" s="4"/>
      <c r="K594" s="1" t="s">
        <v>55</v>
      </c>
      <c r="L594" s="1" t="str">
        <f t="shared" si="9"/>
        <v>Branch</v>
      </c>
      <c r="M594" s="1"/>
      <c r="N594" s="1"/>
      <c r="O594" s="1"/>
      <c r="P594" s="1"/>
      <c r="Q594" s="1"/>
      <c r="R594" s="1"/>
      <c r="S594" s="1"/>
    </row>
    <row r="595" spans="1:19" ht="23" customHeight="1">
      <c r="A595" s="1" t="s">
        <v>652</v>
      </c>
      <c r="B595" s="4">
        <v>46071</v>
      </c>
      <c r="C595" s="1" t="s">
        <v>19</v>
      </c>
      <c r="D595" s="1" t="s">
        <v>54</v>
      </c>
      <c r="E595" s="5">
        <v>50000</v>
      </c>
      <c r="F595" s="1">
        <v>0</v>
      </c>
      <c r="G595" s="4">
        <v>46073</v>
      </c>
      <c r="H595" s="4">
        <v>46076</v>
      </c>
      <c r="I595" s="4">
        <v>46078</v>
      </c>
      <c r="J595" s="4"/>
      <c r="K595" s="1" t="s">
        <v>63</v>
      </c>
      <c r="L595" s="1" t="str">
        <f t="shared" si="9"/>
        <v>Online</v>
      </c>
      <c r="M595" s="1"/>
      <c r="N595" s="1"/>
      <c r="O595" s="1"/>
      <c r="P595" s="1"/>
      <c r="Q595" s="1"/>
      <c r="R595" s="1"/>
      <c r="S595" s="1"/>
    </row>
    <row r="596" spans="1:19" ht="23" customHeight="1">
      <c r="A596" s="1" t="s">
        <v>653</v>
      </c>
      <c r="B596" s="4">
        <v>46066</v>
      </c>
      <c r="C596" s="1" t="s">
        <v>18</v>
      </c>
      <c r="D596" s="1" t="s">
        <v>65</v>
      </c>
      <c r="E596" s="5">
        <v>20000</v>
      </c>
      <c r="F596" s="1">
        <v>1</v>
      </c>
      <c r="G596" s="4">
        <v>46074</v>
      </c>
      <c r="H596" s="4">
        <v>46077</v>
      </c>
      <c r="I596" s="4">
        <v>46078</v>
      </c>
      <c r="J596" s="4"/>
      <c r="K596" s="1" t="s">
        <v>63</v>
      </c>
      <c r="L596" s="1" t="str">
        <f t="shared" si="9"/>
        <v>Branch</v>
      </c>
      <c r="M596" s="1"/>
      <c r="N596" s="1"/>
      <c r="O596" s="1"/>
      <c r="P596" s="1"/>
      <c r="Q596" s="1"/>
      <c r="R596" s="1"/>
      <c r="S596" s="1"/>
    </row>
    <row r="597" spans="1:19" ht="23" customHeight="1">
      <c r="A597" s="1" t="s">
        <v>654</v>
      </c>
      <c r="B597" s="4">
        <v>46067</v>
      </c>
      <c r="C597" s="1" t="s">
        <v>19</v>
      </c>
      <c r="D597" s="1" t="s">
        <v>54</v>
      </c>
      <c r="E597" s="5">
        <v>22000</v>
      </c>
      <c r="F597" s="1">
        <v>0</v>
      </c>
      <c r="G597" s="4">
        <v>46069</v>
      </c>
      <c r="H597" s="4">
        <v>46075</v>
      </c>
      <c r="I597" s="4">
        <v>46077</v>
      </c>
      <c r="J597" s="4"/>
      <c r="K597" s="1" t="s">
        <v>55</v>
      </c>
      <c r="L597" s="1" t="str">
        <f t="shared" si="9"/>
        <v>Online</v>
      </c>
      <c r="M597" s="1"/>
      <c r="N597" s="1"/>
      <c r="O597" s="1"/>
      <c r="P597" s="1"/>
      <c r="Q597" s="1"/>
      <c r="R597" s="1"/>
      <c r="S597" s="1"/>
    </row>
    <row r="598" spans="1:19" ht="23" customHeight="1">
      <c r="A598" s="1" t="s">
        <v>655</v>
      </c>
      <c r="B598" s="4">
        <v>46094</v>
      </c>
      <c r="C598" s="1" t="s">
        <v>19</v>
      </c>
      <c r="D598" s="1" t="s">
        <v>54</v>
      </c>
      <c r="E598" s="5">
        <v>17000</v>
      </c>
      <c r="F598" s="1">
        <v>0</v>
      </c>
      <c r="G598" s="4">
        <v>46096</v>
      </c>
      <c r="H598" s="4">
        <v>46102</v>
      </c>
      <c r="I598" s="4">
        <v>46105</v>
      </c>
      <c r="J598" s="4"/>
      <c r="K598" s="1" t="s">
        <v>63</v>
      </c>
      <c r="L598" s="1" t="str">
        <f t="shared" si="9"/>
        <v>Online</v>
      </c>
      <c r="M598" s="1"/>
      <c r="N598" s="1"/>
      <c r="O598" s="1"/>
      <c r="P598" s="1"/>
      <c r="Q598" s="1"/>
      <c r="R598" s="1"/>
      <c r="S598" s="1"/>
    </row>
    <row r="599" spans="1:19" ht="23" customHeight="1">
      <c r="A599" s="1" t="s">
        <v>656</v>
      </c>
      <c r="B599" s="4">
        <v>46053</v>
      </c>
      <c r="C599" s="1" t="s">
        <v>18</v>
      </c>
      <c r="D599" s="1" t="s">
        <v>65</v>
      </c>
      <c r="E599" s="5">
        <v>48000</v>
      </c>
      <c r="F599" s="1">
        <v>0</v>
      </c>
      <c r="G599" s="4">
        <v>46055</v>
      </c>
      <c r="H599" s="4">
        <v>46057</v>
      </c>
      <c r="I599" s="4">
        <v>46058</v>
      </c>
      <c r="J599" s="4"/>
      <c r="K599" s="1" t="s">
        <v>55</v>
      </c>
      <c r="L599" s="1" t="str">
        <f t="shared" si="9"/>
        <v>Branch</v>
      </c>
      <c r="M599" s="1"/>
      <c r="N599" s="1"/>
      <c r="O599" s="1"/>
      <c r="P599" s="1"/>
      <c r="Q599" s="1"/>
      <c r="R599" s="1"/>
      <c r="S599" s="1"/>
    </row>
    <row r="600" spans="1:19" ht="23" customHeight="1">
      <c r="A600" s="1" t="s">
        <v>657</v>
      </c>
      <c r="B600" s="4">
        <v>46107</v>
      </c>
      <c r="C600" s="1" t="s">
        <v>19</v>
      </c>
      <c r="D600" s="1" t="s">
        <v>54</v>
      </c>
      <c r="E600" s="5">
        <v>8000</v>
      </c>
      <c r="F600" s="1">
        <v>0</v>
      </c>
      <c r="G600" s="4">
        <v>46108</v>
      </c>
      <c r="H600" s="4">
        <v>46110</v>
      </c>
      <c r="I600" s="4">
        <v>46112</v>
      </c>
      <c r="J600" s="4"/>
      <c r="K600" s="1" t="s">
        <v>55</v>
      </c>
      <c r="L600" s="1" t="str">
        <f t="shared" si="9"/>
        <v>Online</v>
      </c>
      <c r="M600" s="1"/>
      <c r="N600" s="1"/>
      <c r="O600" s="1"/>
      <c r="P600" s="1"/>
      <c r="Q600" s="1"/>
      <c r="R600" s="1"/>
      <c r="S600" s="1"/>
    </row>
    <row r="601" spans="1:19" ht="23" customHeight="1">
      <c r="A601" s="1" t="s">
        <v>658</v>
      </c>
      <c r="B601" s="4">
        <v>46091</v>
      </c>
      <c r="C601" s="1" t="s">
        <v>18</v>
      </c>
      <c r="D601" s="1" t="s">
        <v>65</v>
      </c>
      <c r="E601" s="5">
        <v>25000</v>
      </c>
      <c r="F601" s="1">
        <v>1</v>
      </c>
      <c r="G601" s="4">
        <v>46096</v>
      </c>
      <c r="H601" s="4">
        <v>46101</v>
      </c>
      <c r="I601" s="4">
        <v>46103</v>
      </c>
      <c r="J601" s="4"/>
      <c r="K601" s="1" t="s">
        <v>63</v>
      </c>
      <c r="L601" s="1" t="str">
        <f t="shared" si="9"/>
        <v>Branch</v>
      </c>
      <c r="M601" s="1"/>
      <c r="N601" s="1"/>
      <c r="O601" s="1"/>
      <c r="P601" s="1"/>
      <c r="Q601" s="1"/>
      <c r="R601" s="1"/>
      <c r="S601" s="1"/>
    </row>
    <row r="602" spans="1:19" ht="23" customHeight="1">
      <c r="A602" s="1" t="s">
        <v>659</v>
      </c>
      <c r="B602" s="4">
        <v>46089</v>
      </c>
      <c r="C602" s="1" t="s">
        <v>19</v>
      </c>
      <c r="D602" s="1" t="s">
        <v>54</v>
      </c>
      <c r="E602" s="5">
        <v>30000</v>
      </c>
      <c r="F602" s="1">
        <v>0</v>
      </c>
      <c r="G602" s="4">
        <v>46090</v>
      </c>
      <c r="H602" s="4">
        <v>46093</v>
      </c>
      <c r="I602" s="4">
        <v>46096</v>
      </c>
      <c r="J602" s="4"/>
      <c r="K602" s="1" t="s">
        <v>55</v>
      </c>
      <c r="L602" s="1" t="str">
        <f t="shared" si="9"/>
        <v>Online</v>
      </c>
      <c r="M602" s="1"/>
      <c r="N602" s="1"/>
      <c r="O602" s="1"/>
      <c r="P602" s="1"/>
      <c r="Q602" s="1"/>
      <c r="R602" s="1"/>
      <c r="S602" s="1"/>
    </row>
    <row r="603" spans="1:19" ht="23" customHeight="1">
      <c r="A603" s="1" t="s">
        <v>660</v>
      </c>
      <c r="B603" s="4">
        <v>46045</v>
      </c>
      <c r="C603" s="1" t="s">
        <v>19</v>
      </c>
      <c r="D603" s="1" t="s">
        <v>54</v>
      </c>
      <c r="E603" s="5">
        <v>46000</v>
      </c>
      <c r="F603" s="1">
        <v>1</v>
      </c>
      <c r="G603" s="4">
        <v>46049</v>
      </c>
      <c r="H603" s="4">
        <v>46053</v>
      </c>
      <c r="I603" s="4">
        <v>46054</v>
      </c>
      <c r="J603" s="4"/>
      <c r="K603" s="1" t="s">
        <v>55</v>
      </c>
      <c r="L603" s="1" t="str">
        <f t="shared" si="9"/>
        <v>Online</v>
      </c>
      <c r="M603" s="1"/>
      <c r="N603" s="1"/>
      <c r="O603" s="1"/>
      <c r="P603" s="1"/>
      <c r="Q603" s="1"/>
      <c r="R603" s="1"/>
      <c r="S603" s="1"/>
    </row>
    <row r="604" spans="1:19" ht="23" customHeight="1">
      <c r="A604" s="1" t="s">
        <v>661</v>
      </c>
      <c r="B604" s="4">
        <v>46037</v>
      </c>
      <c r="C604" s="1" t="s">
        <v>18</v>
      </c>
      <c r="D604" s="1" t="s">
        <v>71</v>
      </c>
      <c r="E604" s="5">
        <v>23000</v>
      </c>
      <c r="F604" s="1">
        <v>0</v>
      </c>
      <c r="G604" s="4">
        <v>46038</v>
      </c>
      <c r="H604" s="4">
        <v>46043</v>
      </c>
      <c r="I604" s="4">
        <v>46046</v>
      </c>
      <c r="J604" s="4"/>
      <c r="K604" s="1" t="s">
        <v>63</v>
      </c>
      <c r="L604" s="1" t="str">
        <f t="shared" si="9"/>
        <v>Branch</v>
      </c>
      <c r="M604" s="1"/>
      <c r="N604" s="1"/>
      <c r="O604" s="1"/>
      <c r="P604" s="1"/>
      <c r="Q604" s="1"/>
      <c r="R604" s="1"/>
      <c r="S604" s="1"/>
    </row>
    <row r="605" spans="1:19" ht="23" customHeight="1">
      <c r="L605" s="1"/>
      <c r="M605" s="1"/>
      <c r="N605" s="1"/>
      <c r="O605" s="1"/>
      <c r="P605" s="1"/>
      <c r="Q605" s="1"/>
      <c r="R605" s="1"/>
      <c r="S605" s="1"/>
    </row>
    <row r="606" spans="1:19" ht="23" customHeight="1">
      <c r="L606" s="1"/>
      <c r="M606" s="1"/>
      <c r="N606" s="1"/>
      <c r="O606" s="1"/>
      <c r="P606" s="1"/>
      <c r="Q606" s="1"/>
      <c r="R606" s="1"/>
      <c r="S606" s="1"/>
    </row>
    <row r="607" spans="1:19" ht="23" customHeight="1">
      <c r="L607" s="1"/>
      <c r="M607" s="1"/>
      <c r="N607" s="1"/>
      <c r="O607" s="1"/>
      <c r="P607" s="1"/>
      <c r="Q607" s="1"/>
      <c r="R607" s="1"/>
      <c r="S607" s="1"/>
    </row>
    <row r="608" spans="1:19" ht="23" customHeight="1">
      <c r="L608" s="1"/>
      <c r="M608" s="1"/>
      <c r="N608" s="1"/>
      <c r="O608" s="1"/>
      <c r="P608" s="1"/>
      <c r="Q608" s="1"/>
      <c r="R608" s="1"/>
      <c r="S608" s="1"/>
    </row>
    <row r="609" spans="1:19" ht="23" customHeight="1">
      <c r="L609" s="1"/>
      <c r="M609" s="1"/>
      <c r="N609" s="1"/>
      <c r="O609" s="1"/>
      <c r="P609" s="1"/>
      <c r="Q609" s="1"/>
      <c r="R609" s="1"/>
      <c r="S609" s="1"/>
    </row>
    <row r="610" spans="1:19" ht="23" customHeight="1">
      <c r="L610" s="1"/>
      <c r="M610" s="1"/>
      <c r="N610" s="1"/>
      <c r="O610" s="1"/>
      <c r="P610" s="1"/>
      <c r="Q610" s="1"/>
      <c r="R610" s="1"/>
      <c r="S610" s="1"/>
    </row>
    <row r="611" spans="1:19" ht="23" customHeight="1">
      <c r="L611" s="1"/>
      <c r="M611" s="1"/>
      <c r="N611" s="1"/>
      <c r="O611" s="1"/>
      <c r="P611" s="1"/>
      <c r="Q611" s="1"/>
      <c r="R611" s="1"/>
      <c r="S611" s="1"/>
    </row>
    <row r="612" spans="1:19" ht="23" customHeight="1">
      <c r="L612" s="1"/>
      <c r="M612" s="1"/>
      <c r="N612" s="1"/>
      <c r="O612" s="1"/>
      <c r="P612" s="1"/>
      <c r="Q612" s="1"/>
      <c r="R612" s="1"/>
      <c r="S612" s="1"/>
    </row>
    <row r="613" spans="1:19" ht="23" customHeight="1">
      <c r="L613" s="1"/>
      <c r="M613" s="1"/>
      <c r="N613" s="1"/>
      <c r="O613" s="1"/>
      <c r="P613" s="1"/>
      <c r="Q613" s="1"/>
      <c r="R613" s="1"/>
      <c r="S613" s="1"/>
    </row>
    <row r="614" spans="1:19" ht="23" customHeight="1">
      <c r="L614" s="1"/>
      <c r="M614" s="1"/>
      <c r="N614" s="1"/>
      <c r="O614" s="1"/>
      <c r="P614" s="1"/>
      <c r="Q614" s="1"/>
      <c r="R614" s="1"/>
      <c r="S614" s="1"/>
    </row>
    <row r="615" spans="1:19" ht="23" customHeight="1">
      <c r="L615" s="1"/>
      <c r="M615" s="1"/>
      <c r="N615" s="1"/>
      <c r="O615" s="1"/>
      <c r="P615" s="1"/>
      <c r="Q615" s="1"/>
      <c r="R615" s="1"/>
      <c r="S615" s="1"/>
    </row>
    <row r="616" spans="1:19" ht="23" customHeight="1">
      <c r="L616" s="1"/>
      <c r="M616" s="1"/>
      <c r="N616" s="1"/>
      <c r="O616" s="1"/>
      <c r="P616" s="1"/>
      <c r="Q616" s="1"/>
      <c r="R616" s="1"/>
      <c r="S616" s="1"/>
    </row>
    <row r="617" spans="1:19" ht="23" customHeight="1">
      <c r="A617" s="1"/>
      <c r="B617" s="1"/>
      <c r="C617" s="1"/>
      <c r="D617" s="1"/>
      <c r="E617" s="1"/>
      <c r="F617" s="1"/>
      <c r="G617" s="1"/>
      <c r="H617" s="1"/>
      <c r="I617" s="1"/>
      <c r="J617" s="1"/>
      <c r="K617" s="1"/>
      <c r="L617" s="1"/>
      <c r="M617" s="1"/>
      <c r="N617" s="1"/>
      <c r="O617" s="1"/>
      <c r="P617" s="1"/>
      <c r="Q617" s="1"/>
      <c r="R617" s="1"/>
      <c r="S617" s="1"/>
    </row>
    <row r="618" spans="1:19" ht="23" customHeight="1">
      <c r="A618" s="1"/>
      <c r="B618" s="1"/>
      <c r="C618" s="1"/>
      <c r="D618" s="1"/>
      <c r="E618" s="1"/>
      <c r="F618" s="1"/>
      <c r="G618" s="1"/>
      <c r="H618" s="1"/>
      <c r="I618" s="1"/>
      <c r="J618" s="1"/>
      <c r="K618" s="1"/>
      <c r="L618" s="1"/>
      <c r="M618" s="1"/>
      <c r="N618" s="1"/>
      <c r="O618" s="1"/>
      <c r="P618" s="1"/>
      <c r="Q618" s="1"/>
      <c r="R618" s="1"/>
      <c r="S618" s="1"/>
    </row>
    <row r="619" spans="1:19" ht="23" customHeight="1">
      <c r="A619" s="1"/>
      <c r="B619" s="1"/>
      <c r="C619" s="1"/>
      <c r="D619" s="1"/>
      <c r="E619" s="1"/>
      <c r="F619" s="1"/>
      <c r="G619" s="1"/>
      <c r="H619" s="1"/>
      <c r="I619" s="1"/>
      <c r="J619" s="1"/>
      <c r="K619" s="1"/>
      <c r="L619" s="1"/>
      <c r="M619" s="1"/>
      <c r="N619" s="1"/>
      <c r="O619" s="1"/>
      <c r="P619" s="1"/>
      <c r="Q619" s="1"/>
      <c r="R619" s="1"/>
      <c r="S619" s="1"/>
    </row>
    <row r="620" spans="1:19" ht="23" customHeight="1">
      <c r="A620" s="1"/>
      <c r="B620" s="1"/>
      <c r="C620" s="1"/>
      <c r="D620" s="1"/>
      <c r="E620" s="1"/>
      <c r="F620" s="1"/>
      <c r="G620" s="1"/>
      <c r="H620" s="1"/>
      <c r="I620" s="1"/>
      <c r="J620" s="1"/>
      <c r="K620" s="1"/>
      <c r="L620" s="1"/>
      <c r="M620" s="1"/>
      <c r="N620" s="1"/>
      <c r="O620" s="1"/>
      <c r="P620" s="1"/>
      <c r="Q620" s="1"/>
      <c r="R620" s="1"/>
      <c r="S620" s="1"/>
    </row>
  </sheetData>
  <mergeCells count="1">
    <mergeCell ref="A2:K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2823B-2990-4AF6-9956-575DE52EC3BA}">
  <dimension ref="A1:D4"/>
  <sheetViews>
    <sheetView workbookViewId="0">
      <selection sqref="A1:D1"/>
    </sheetView>
  </sheetViews>
  <sheetFormatPr defaultRowHeight="13.5"/>
  <cols>
    <col min="1" max="4" width="35.5625" style="16" customWidth="1"/>
  </cols>
  <sheetData>
    <row r="1" spans="1:4" ht="13.9">
      <c r="A1" s="19" t="s">
        <v>728</v>
      </c>
      <c r="B1" s="19" t="s">
        <v>729</v>
      </c>
      <c r="C1" s="19" t="s">
        <v>730</v>
      </c>
      <c r="D1" s="19" t="s">
        <v>731</v>
      </c>
    </row>
    <row r="2" spans="1:4" ht="27">
      <c r="A2" s="16" t="s">
        <v>732</v>
      </c>
      <c r="B2" s="16" t="s">
        <v>733</v>
      </c>
      <c r="C2" s="16" t="s">
        <v>734</v>
      </c>
      <c r="D2" s="16" t="s">
        <v>735</v>
      </c>
    </row>
    <row r="3" spans="1:4" ht="40.5">
      <c r="A3" s="16" t="s">
        <v>24</v>
      </c>
      <c r="B3" s="16" t="s">
        <v>736</v>
      </c>
      <c r="C3" s="16" t="s">
        <v>737</v>
      </c>
      <c r="D3" s="16" t="s">
        <v>738</v>
      </c>
    </row>
    <row r="4" spans="1:4" ht="27">
      <c r="A4" s="16" t="s">
        <v>739</v>
      </c>
      <c r="B4" s="16" t="s">
        <v>740</v>
      </c>
      <c r="C4" s="16" t="s">
        <v>741</v>
      </c>
      <c r="D4" s="16" t="s">
        <v>742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334F"/>
  </sheetPr>
  <dimension ref="A1:L43"/>
  <sheetViews>
    <sheetView showGridLines="0" workbookViewId="0"/>
  </sheetViews>
  <sheetFormatPr defaultRowHeight="13.5"/>
  <cols>
    <col min="1" max="1" width="35" customWidth="1"/>
    <col min="2" max="2" width="17" customWidth="1"/>
    <col min="3" max="4" width="19" customWidth="1"/>
    <col min="5" max="12" width="13" customWidth="1"/>
  </cols>
  <sheetData>
    <row r="1" spans="1:12" ht="23" customHeight="1">
      <c r="A1" s="1"/>
      <c r="B1" s="1"/>
      <c r="C1" s="1"/>
      <c r="D1" s="1"/>
      <c r="E1" s="1"/>
      <c r="F1" s="1"/>
      <c r="G1" s="1"/>
      <c r="H1" s="1"/>
      <c r="I1" s="1"/>
      <c r="J1" s="1"/>
      <c r="K1" s="1"/>
      <c r="L1" s="1"/>
    </row>
    <row r="2" spans="1:12" ht="23" customHeight="1">
      <c r="A2" s="11" t="s">
        <v>0</v>
      </c>
      <c r="B2" s="12"/>
      <c r="C2" s="12"/>
      <c r="D2" s="12"/>
      <c r="E2" s="12"/>
      <c r="F2" s="12"/>
      <c r="G2" s="12"/>
      <c r="H2" s="12"/>
      <c r="I2" s="12"/>
      <c r="J2" s="12"/>
      <c r="K2" s="12"/>
      <c r="L2" s="12"/>
    </row>
    <row r="3" spans="1:12" ht="23" customHeight="1">
      <c r="A3" s="12" t="s">
        <v>1</v>
      </c>
      <c r="B3" s="12"/>
      <c r="C3" s="12"/>
      <c r="D3" s="12"/>
      <c r="E3" s="12"/>
      <c r="F3" s="12"/>
      <c r="G3" s="12"/>
      <c r="H3" s="12"/>
      <c r="I3" s="12"/>
      <c r="J3" s="12"/>
      <c r="K3" s="12"/>
      <c r="L3" s="12"/>
    </row>
    <row r="4" spans="1:12" ht="23" customHeight="1">
      <c r="A4" s="1"/>
      <c r="B4" s="1"/>
      <c r="C4" s="1"/>
      <c r="D4" s="1"/>
      <c r="E4" s="1"/>
      <c r="F4" s="1"/>
      <c r="G4" s="1"/>
      <c r="H4" s="1"/>
      <c r="I4" s="1"/>
      <c r="J4" s="1"/>
      <c r="K4" s="1"/>
      <c r="L4" s="1"/>
    </row>
    <row r="5" spans="1:12" ht="23" customHeight="1">
      <c r="A5" s="1" t="s">
        <v>2</v>
      </c>
      <c r="B5" s="2">
        <v>7</v>
      </c>
      <c r="C5" s="1"/>
      <c r="D5" s="12" t="s">
        <v>3</v>
      </c>
      <c r="E5" s="12"/>
      <c r="F5" s="12"/>
      <c r="G5" s="12"/>
      <c r="H5" s="12"/>
      <c r="I5" s="12"/>
      <c r="J5" s="12"/>
      <c r="K5" s="12"/>
      <c r="L5" s="12"/>
    </row>
    <row r="6" spans="1:12" ht="23" customHeight="1">
      <c r="A6" s="1" t="s">
        <v>4</v>
      </c>
      <c r="B6" s="3">
        <v>46112</v>
      </c>
      <c r="C6" s="1"/>
      <c r="D6" s="1"/>
      <c r="E6" s="1"/>
      <c r="F6" s="1"/>
      <c r="G6" s="1"/>
      <c r="H6" s="1"/>
      <c r="I6" s="1"/>
      <c r="J6" s="1"/>
      <c r="K6" s="1"/>
      <c r="L6" s="1"/>
    </row>
    <row r="7" spans="1:12" ht="23" customHeight="1">
      <c r="A7" s="1"/>
      <c r="B7" s="1"/>
      <c r="C7" s="1"/>
      <c r="D7" s="1"/>
      <c r="E7" s="1"/>
      <c r="F7" s="1"/>
      <c r="G7" s="1"/>
      <c r="H7" s="1"/>
      <c r="I7" s="1"/>
      <c r="J7" s="1"/>
      <c r="K7" s="1"/>
      <c r="L7" s="1"/>
    </row>
    <row r="8" spans="1:12" ht="38" customHeight="1">
      <c r="A8" s="6" t="s">
        <v>5</v>
      </c>
      <c r="B8" s="6" t="s">
        <v>6</v>
      </c>
      <c r="C8" s="1"/>
      <c r="D8" s="1"/>
      <c r="E8" s="1"/>
      <c r="F8" s="1"/>
      <c r="G8" s="1"/>
      <c r="H8" s="1"/>
      <c r="I8" s="1"/>
      <c r="J8" s="1"/>
      <c r="K8" s="1"/>
      <c r="L8" s="1"/>
    </row>
    <row r="9" spans="1:12" ht="23" customHeight="1">
      <c r="A9" s="1" t="s">
        <v>7</v>
      </c>
      <c r="B9" s="8">
        <f>COUNTA(Applications!$A$5:$A$604)</f>
        <v>600</v>
      </c>
      <c r="C9" s="1"/>
      <c r="D9" s="1"/>
      <c r="E9" s="1"/>
      <c r="F9" s="1"/>
      <c r="G9" s="1"/>
      <c r="H9" s="1"/>
      <c r="I9" s="1"/>
      <c r="J9" s="1"/>
      <c r="K9" s="1"/>
      <c r="L9" s="1"/>
    </row>
    <row r="10" spans="1:12" ht="23" customHeight="1">
      <c r="A10" s="1" t="s">
        <v>8</v>
      </c>
      <c r="B10" s="8">
        <f>SUM(Applications!$L$5:$L$604)</f>
        <v>505</v>
      </c>
      <c r="C10" s="1"/>
      <c r="D10" s="1"/>
      <c r="E10" s="1"/>
      <c r="F10" s="1"/>
      <c r="G10" s="1"/>
      <c r="H10" s="1"/>
      <c r="I10" s="1"/>
      <c r="J10" s="1"/>
      <c r="K10" s="1"/>
      <c r="L10" s="1"/>
    </row>
    <row r="11" spans="1:12" ht="23" customHeight="1">
      <c r="A11" s="1" t="s">
        <v>9</v>
      </c>
      <c r="B11" s="8">
        <f>COUNTIFS(Applications!$K$5:$K$604,"Open")</f>
        <v>61</v>
      </c>
      <c r="C11" s="1"/>
      <c r="D11" s="1"/>
      <c r="E11" s="1"/>
      <c r="F11" s="1"/>
      <c r="G11" s="1"/>
      <c r="H11" s="1"/>
      <c r="I11" s="1"/>
      <c r="J11" s="1"/>
      <c r="K11" s="1"/>
      <c r="L11" s="1"/>
    </row>
    <row r="12" spans="1:12" ht="23" customHeight="1">
      <c r="A12" s="1" t="s">
        <v>10</v>
      </c>
      <c r="B12" s="8">
        <f>COUNTIFS(Applications!$K$5:$K$604,"Withdrawn")</f>
        <v>34</v>
      </c>
      <c r="C12" s="1"/>
      <c r="D12" s="1"/>
      <c r="E12" s="1"/>
      <c r="F12" s="1"/>
      <c r="G12" s="1"/>
      <c r="H12" s="1"/>
      <c r="I12" s="1"/>
      <c r="J12" s="1"/>
      <c r="K12" s="1"/>
      <c r="L12" s="1"/>
    </row>
    <row r="13" spans="1:12" ht="23" customHeight="1">
      <c r="A13" s="1" t="s">
        <v>11</v>
      </c>
      <c r="B13" s="9">
        <f>AVERAGE(Applications!$F$5:$F$604)</f>
        <v>0.34833333333333333</v>
      </c>
      <c r="C13" s="1"/>
      <c r="D13" s="1"/>
      <c r="E13" s="1"/>
      <c r="F13" s="1"/>
      <c r="G13" s="1"/>
      <c r="H13" s="1"/>
      <c r="I13" s="1"/>
      <c r="J13" s="1"/>
      <c r="K13" s="1"/>
      <c r="L13" s="1"/>
    </row>
    <row r="14" spans="1:12" ht="23" customHeight="1">
      <c r="A14" s="1" t="s">
        <v>12</v>
      </c>
      <c r="B14" s="10">
        <f>AVERAGE(Applications!$M$5:$M$604)</f>
        <v>8.5425742574257431</v>
      </c>
      <c r="C14" s="1"/>
      <c r="D14" s="1"/>
      <c r="E14" s="1"/>
      <c r="F14" s="1"/>
      <c r="G14" s="1"/>
      <c r="H14" s="1"/>
      <c r="I14" s="1"/>
      <c r="J14" s="1"/>
      <c r="K14" s="1"/>
      <c r="L14" s="1"/>
    </row>
    <row r="15" spans="1:12" ht="23" customHeight="1">
      <c r="A15" s="1" t="s">
        <v>13</v>
      </c>
      <c r="B15" s="9">
        <f>AVERAGE(Applications!$R$5:$R$604)</f>
        <v>0.4297029702970297</v>
      </c>
      <c r="C15" s="1"/>
      <c r="D15" s="1"/>
      <c r="E15" s="1"/>
      <c r="F15" s="1"/>
      <c r="G15" s="1"/>
      <c r="H15" s="1"/>
      <c r="I15" s="1"/>
      <c r="J15" s="1"/>
      <c r="K15" s="1"/>
      <c r="L15" s="1"/>
    </row>
    <row r="16" spans="1:12" ht="23" customHeight="1">
      <c r="A16" s="1" t="s">
        <v>14</v>
      </c>
      <c r="B16" s="9">
        <f>COUNTIFS(Applications!$K$5:$K$604,"Approved")/B10</f>
        <v>0.72475247524752473</v>
      </c>
      <c r="C16" s="1"/>
      <c r="D16" s="1"/>
      <c r="E16" s="1"/>
      <c r="F16" s="1"/>
      <c r="G16" s="1"/>
      <c r="H16" s="1"/>
      <c r="I16" s="1"/>
      <c r="J16" s="1"/>
      <c r="K16" s="1"/>
      <c r="L16" s="1"/>
    </row>
    <row r="17" spans="1:12" ht="23" customHeight="1">
      <c r="A17" s="1" t="s">
        <v>15</v>
      </c>
      <c r="B17" s="8">
        <f>COUNTIFS(Applications!$K$5:$K$604,"Open",Applications!$Q$5:$Q$604,"&gt;"&amp;B5)</f>
        <v>8</v>
      </c>
      <c r="C17" s="1"/>
      <c r="D17" s="1"/>
      <c r="E17" s="1"/>
      <c r="F17" s="1"/>
      <c r="G17" s="1"/>
      <c r="H17" s="1"/>
      <c r="I17" s="1"/>
      <c r="J17" s="1"/>
      <c r="K17" s="1"/>
      <c r="L17" s="1"/>
    </row>
    <row r="18" spans="1:12" ht="23" customHeight="1">
      <c r="A18" s="1"/>
      <c r="B18" s="1"/>
      <c r="C18" s="1"/>
      <c r="D18" s="1"/>
      <c r="E18" s="1"/>
      <c r="F18" s="1"/>
      <c r="G18" s="1"/>
      <c r="H18" s="1"/>
      <c r="I18" s="1"/>
      <c r="J18" s="1"/>
      <c r="K18" s="1"/>
      <c r="L18" s="1"/>
    </row>
    <row r="19" spans="1:12" ht="23" customHeight="1">
      <c r="A19" s="1"/>
      <c r="B19" s="1"/>
      <c r="C19" s="1"/>
      <c r="D19" s="1"/>
      <c r="E19" s="1"/>
      <c r="F19" s="1"/>
      <c r="G19" s="1"/>
      <c r="H19" s="1"/>
      <c r="I19" s="1"/>
      <c r="J19" s="1"/>
      <c r="K19" s="1"/>
      <c r="L19" s="1"/>
    </row>
    <row r="20" spans="1:12" ht="38" customHeight="1">
      <c r="A20" s="6" t="s">
        <v>16</v>
      </c>
      <c r="B20" s="6" t="s">
        <v>7</v>
      </c>
      <c r="C20" s="6" t="s">
        <v>17</v>
      </c>
      <c r="D20" s="6" t="s">
        <v>12</v>
      </c>
      <c r="E20" s="1"/>
      <c r="F20" s="1"/>
      <c r="G20" s="1"/>
      <c r="H20" s="1"/>
      <c r="I20" s="1"/>
      <c r="J20" s="1"/>
      <c r="K20" s="1"/>
      <c r="L20" s="1"/>
    </row>
    <row r="21" spans="1:12" ht="23" customHeight="1">
      <c r="A21" s="1" t="s">
        <v>18</v>
      </c>
      <c r="B21" s="1">
        <f>COUNTIFS(Applications!$C$5:$C$604,A21)</f>
        <v>331</v>
      </c>
      <c r="C21" s="1">
        <f>SUMIFS(Applications!$L$5:$L$604,Applications!$C$5:$C$604,A21)</f>
        <v>281</v>
      </c>
      <c r="D21" s="10">
        <f>SUMIFS(Applications!$M$5:$M$604,Applications!$C$5:$C$604,A21)/C21</f>
        <v>9.135231316725978</v>
      </c>
      <c r="E21" s="1"/>
      <c r="F21" s="1"/>
      <c r="G21" s="1"/>
      <c r="H21" s="1"/>
      <c r="I21" s="1"/>
      <c r="J21" s="1"/>
      <c r="K21" s="1"/>
      <c r="L21" s="1"/>
    </row>
    <row r="22" spans="1:12" ht="23" customHeight="1">
      <c r="A22" s="1" t="s">
        <v>19</v>
      </c>
      <c r="B22" s="1">
        <f>COUNTIFS(Applications!$C$5:$C$604,A22)</f>
        <v>269</v>
      </c>
      <c r="C22" s="1">
        <f>SUMIFS(Applications!$L$5:$L$604,Applications!$C$5:$C$604,A22)</f>
        <v>224</v>
      </c>
      <c r="D22" s="10">
        <f>SUMIFS(Applications!$M$5:$M$604,Applications!$C$5:$C$604,A22)/C22</f>
        <v>7.7991071428571432</v>
      </c>
      <c r="E22" s="1"/>
      <c r="F22" s="1"/>
      <c r="G22" s="1"/>
      <c r="H22" s="1"/>
      <c r="I22" s="1"/>
      <c r="J22" s="1"/>
      <c r="K22" s="1"/>
      <c r="L22" s="1"/>
    </row>
    <row r="23" spans="1:12" ht="23" customHeight="1">
      <c r="A23" s="1"/>
      <c r="B23" s="1"/>
      <c r="C23" s="1"/>
      <c r="D23" s="1"/>
      <c r="E23" s="1"/>
      <c r="F23" s="1"/>
      <c r="G23" s="1"/>
      <c r="H23" s="1"/>
      <c r="I23" s="1"/>
      <c r="J23" s="1"/>
      <c r="K23" s="1"/>
      <c r="L23" s="1"/>
    </row>
    <row r="24" spans="1:12" ht="23" customHeight="1">
      <c r="A24" s="1"/>
      <c r="B24" s="1"/>
      <c r="C24" s="1"/>
      <c r="D24" s="1"/>
      <c r="E24" s="1"/>
      <c r="F24" s="1"/>
      <c r="G24" s="1"/>
      <c r="H24" s="1"/>
      <c r="I24" s="1"/>
      <c r="J24" s="1"/>
      <c r="K24" s="1"/>
      <c r="L24" s="1"/>
    </row>
    <row r="25" spans="1:12" ht="38" customHeight="1">
      <c r="A25" s="6" t="s">
        <v>20</v>
      </c>
      <c r="B25" s="6" t="s">
        <v>21</v>
      </c>
      <c r="C25" s="1"/>
      <c r="D25" s="1"/>
      <c r="E25" s="1"/>
      <c r="F25" s="1"/>
      <c r="G25" s="1"/>
      <c r="H25" s="1"/>
      <c r="I25" s="1"/>
      <c r="J25" s="1"/>
      <c r="K25" s="1"/>
      <c r="L25" s="1"/>
    </row>
    <row r="26" spans="1:12" ht="23" customHeight="1">
      <c r="A26" s="1" t="s">
        <v>22</v>
      </c>
      <c r="B26" s="10">
        <f>AVERAGE(Applications!$N$5:$N$604)</f>
        <v>2.605940594059406</v>
      </c>
      <c r="C26" s="1"/>
      <c r="D26" s="1"/>
      <c r="E26" s="1"/>
      <c r="F26" s="13" t="s">
        <v>23</v>
      </c>
      <c r="G26" s="13"/>
      <c r="H26" s="13"/>
      <c r="I26" s="13"/>
      <c r="J26" s="13"/>
      <c r="K26" s="13"/>
      <c r="L26" s="13"/>
    </row>
    <row r="27" spans="1:12" ht="23" customHeight="1">
      <c r="A27" s="1" t="s">
        <v>24</v>
      </c>
      <c r="B27" s="10">
        <f>AVERAGE(Applications!$O$5:$O$604)</f>
        <v>3.9207920792079207</v>
      </c>
      <c r="C27" s="1"/>
      <c r="D27" s="1"/>
      <c r="E27" s="1"/>
      <c r="F27" s="13"/>
      <c r="G27" s="13"/>
      <c r="H27" s="13"/>
      <c r="I27" s="13"/>
      <c r="J27" s="13"/>
      <c r="K27" s="13"/>
      <c r="L27" s="13"/>
    </row>
    <row r="28" spans="1:12" ht="23" customHeight="1">
      <c r="A28" s="1" t="s">
        <v>25</v>
      </c>
      <c r="B28" s="10">
        <f>AVERAGE(Applications!$P$5:$P$604)</f>
        <v>2.0158415841584159</v>
      </c>
      <c r="C28" s="1"/>
      <c r="D28" s="1"/>
      <c r="E28" s="1"/>
      <c r="F28" s="13"/>
      <c r="G28" s="13"/>
      <c r="H28" s="13"/>
      <c r="I28" s="13"/>
      <c r="J28" s="13"/>
      <c r="K28" s="13"/>
      <c r="L28" s="13"/>
    </row>
    <row r="29" spans="1:12" ht="23" customHeight="1">
      <c r="A29" s="1"/>
      <c r="B29" s="1"/>
      <c r="C29" s="1"/>
      <c r="D29" s="1"/>
      <c r="E29" s="1"/>
      <c r="F29" s="1"/>
      <c r="G29" s="1"/>
      <c r="H29" s="1"/>
      <c r="I29" s="1"/>
      <c r="J29" s="1"/>
      <c r="K29" s="1"/>
      <c r="L29" s="1"/>
    </row>
    <row r="30" spans="1:12" ht="23" customHeight="1">
      <c r="A30" s="1"/>
      <c r="B30" s="1"/>
      <c r="C30" s="1"/>
      <c r="D30" s="1"/>
      <c r="E30" s="1"/>
      <c r="F30" s="1"/>
      <c r="G30" s="1"/>
      <c r="H30" s="1"/>
      <c r="I30" s="1"/>
      <c r="J30" s="1"/>
      <c r="K30" s="1"/>
      <c r="L30" s="1"/>
    </row>
    <row r="31" spans="1:12" ht="38" customHeight="1">
      <c r="A31" s="6" t="s">
        <v>26</v>
      </c>
      <c r="B31" s="6" t="s">
        <v>7</v>
      </c>
      <c r="C31" s="6" t="s">
        <v>17</v>
      </c>
      <c r="D31" s="6" t="s">
        <v>12</v>
      </c>
      <c r="E31" s="1"/>
      <c r="F31" s="13" t="s">
        <v>27</v>
      </c>
      <c r="G31" s="13"/>
      <c r="H31" s="13"/>
      <c r="I31" s="13"/>
      <c r="J31" s="13"/>
      <c r="K31" s="13"/>
      <c r="L31" s="13"/>
    </row>
    <row r="32" spans="1:12" ht="23" customHeight="1">
      <c r="A32" s="1" t="s">
        <v>28</v>
      </c>
      <c r="B32" s="1">
        <f>COUNTIFS(Applications!$F$5:$F$604,0)</f>
        <v>391</v>
      </c>
      <c r="C32" s="1">
        <f>SUMIFS(Applications!$L$5:$L$604,Applications!$F$5:$F$604,0)</f>
        <v>353</v>
      </c>
      <c r="D32" s="10">
        <f>SUMIFS(Applications!$M$5:$M$604,Applications!$F$5:$F$604,0)/C32</f>
        <v>6.9660056657223794</v>
      </c>
      <c r="E32" s="1"/>
      <c r="F32" s="13"/>
      <c r="G32" s="13"/>
      <c r="H32" s="13"/>
      <c r="I32" s="13"/>
      <c r="J32" s="13"/>
      <c r="K32" s="13"/>
      <c r="L32" s="13"/>
    </row>
    <row r="33" spans="1:12" ht="23" customHeight="1">
      <c r="A33" s="1" t="s">
        <v>29</v>
      </c>
      <c r="B33" s="1">
        <f>COUNTIFS(Applications!$F$5:$F$604,1)</f>
        <v>209</v>
      </c>
      <c r="C33" s="1">
        <f>SUMIFS(Applications!$L$5:$L$604,Applications!$F$5:$F$604,1)</f>
        <v>152</v>
      </c>
      <c r="D33" s="10">
        <f>SUMIFS(Applications!$M$5:$M$604,Applications!$F$5:$F$604,1)/C33</f>
        <v>12.203947368421053</v>
      </c>
      <c r="E33" s="1"/>
      <c r="F33" s="13"/>
      <c r="G33" s="13"/>
      <c r="H33" s="13"/>
      <c r="I33" s="13"/>
      <c r="J33" s="13"/>
      <c r="K33" s="13"/>
      <c r="L33" s="13"/>
    </row>
    <row r="34" spans="1:12" ht="23" customHeight="1">
      <c r="A34" s="1"/>
      <c r="B34" s="1"/>
      <c r="C34" s="1"/>
      <c r="D34" s="1"/>
      <c r="E34" s="1"/>
      <c r="F34" s="1"/>
      <c r="G34" s="1"/>
      <c r="H34" s="1"/>
      <c r="I34" s="1"/>
      <c r="J34" s="1"/>
      <c r="K34" s="1"/>
      <c r="L34" s="1"/>
    </row>
    <row r="35" spans="1:12" ht="23" customHeight="1">
      <c r="A35" s="1"/>
      <c r="B35" s="1"/>
      <c r="C35" s="1"/>
      <c r="D35" s="1"/>
      <c r="E35" s="1"/>
      <c r="F35" s="1"/>
      <c r="G35" s="1"/>
      <c r="H35" s="1"/>
      <c r="I35" s="1"/>
      <c r="J35" s="1"/>
      <c r="K35" s="1"/>
      <c r="L35" s="1"/>
    </row>
    <row r="36" spans="1:12" ht="23" customHeight="1">
      <c r="A36" s="12" t="s">
        <v>30</v>
      </c>
      <c r="B36" s="12"/>
      <c r="C36" s="12"/>
      <c r="D36" s="12"/>
      <c r="E36" s="12"/>
      <c r="F36" s="12"/>
      <c r="G36" s="12"/>
      <c r="H36" s="12"/>
      <c r="I36" s="12"/>
      <c r="J36" s="12"/>
      <c r="K36" s="12"/>
      <c r="L36" s="12"/>
    </row>
    <row r="37" spans="1:12" ht="23" customHeight="1">
      <c r="A37" s="1"/>
      <c r="B37" s="1"/>
      <c r="C37" s="1"/>
      <c r="D37" s="1"/>
      <c r="E37" s="1"/>
      <c r="F37" s="1"/>
      <c r="G37" s="1"/>
      <c r="H37" s="1"/>
      <c r="I37" s="1"/>
      <c r="J37" s="1"/>
      <c r="K37" s="1"/>
      <c r="L37" s="1"/>
    </row>
    <row r="38" spans="1:12" ht="23" customHeight="1">
      <c r="A38" s="12" t="s">
        <v>31</v>
      </c>
      <c r="B38" s="12"/>
      <c r="C38" s="12"/>
      <c r="D38" s="12"/>
      <c r="E38" s="12"/>
      <c r="F38" s="12"/>
      <c r="G38" s="12"/>
      <c r="H38" s="12"/>
      <c r="I38" s="12"/>
      <c r="J38" s="12"/>
      <c r="K38" s="12"/>
      <c r="L38" s="12"/>
    </row>
    <row r="39" spans="1:12" ht="23" customHeight="1">
      <c r="A39" s="1"/>
      <c r="B39" s="1"/>
      <c r="C39" s="1"/>
      <c r="D39" s="1"/>
      <c r="E39" s="1"/>
      <c r="F39" s="1"/>
      <c r="G39" s="1"/>
      <c r="H39" s="1"/>
      <c r="I39" s="1"/>
      <c r="J39" s="1"/>
      <c r="K39" s="1"/>
      <c r="L39" s="1"/>
    </row>
    <row r="40" spans="1:12" ht="23" customHeight="1">
      <c r="A40" s="12" t="s">
        <v>32</v>
      </c>
      <c r="B40" s="12"/>
      <c r="C40" s="12"/>
      <c r="D40" s="12"/>
      <c r="E40" s="12"/>
      <c r="F40" s="12"/>
      <c r="G40" s="12"/>
      <c r="H40" s="12"/>
      <c r="I40" s="12"/>
      <c r="J40" s="12"/>
      <c r="K40" s="12"/>
      <c r="L40" s="12"/>
    </row>
    <row r="41" spans="1:12" ht="23" customHeight="1">
      <c r="A41" s="1"/>
      <c r="B41" s="1"/>
      <c r="C41" s="1"/>
      <c r="D41" s="1"/>
      <c r="E41" s="1"/>
      <c r="F41" s="1"/>
      <c r="G41" s="1"/>
      <c r="H41" s="1"/>
      <c r="I41" s="1"/>
      <c r="J41" s="1"/>
      <c r="K41" s="1"/>
      <c r="L41" s="1"/>
    </row>
    <row r="42" spans="1:12" ht="23" customHeight="1">
      <c r="A42" s="1"/>
      <c r="B42" s="1"/>
      <c r="C42" s="1"/>
      <c r="D42" s="1"/>
      <c r="E42" s="1"/>
      <c r="F42" s="1"/>
      <c r="G42" s="1"/>
      <c r="H42" s="1"/>
      <c r="I42" s="1"/>
      <c r="J42" s="1"/>
      <c r="K42" s="1"/>
      <c r="L42" s="1"/>
    </row>
    <row r="43" spans="1:12" ht="23" customHeight="1">
      <c r="A43" s="1"/>
      <c r="B43" s="1"/>
      <c r="C43" s="1"/>
      <c r="D43" s="1"/>
      <c r="E43" s="1"/>
      <c r="F43" s="1"/>
      <c r="G43" s="1"/>
      <c r="H43" s="1"/>
      <c r="I43" s="1"/>
      <c r="J43" s="1"/>
      <c r="K43" s="1"/>
      <c r="L43" s="1"/>
    </row>
  </sheetData>
  <mergeCells count="8">
    <mergeCell ref="A36:L36"/>
    <mergeCell ref="A38:L38"/>
    <mergeCell ref="A40:L40"/>
    <mergeCell ref="A2:L2"/>
    <mergeCell ref="A3:L3"/>
    <mergeCell ref="D5:L5"/>
    <mergeCell ref="F26:L28"/>
    <mergeCell ref="F31:L33"/>
  </mergeCells>
  <dataValidations count="1">
    <dataValidation type="whole" sqref="B5" xr:uid="{00000000-0002-0000-0000-000000000000}">
      <formula1>1</formula1>
      <formula2>60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20"/>
  <sheetViews>
    <sheetView showGridLines="0" workbookViewId="0">
      <pane xSplit="1" ySplit="4" topLeftCell="B5" activePane="bottomRight" state="frozen"/>
      <selection pane="topRight"/>
      <selection pane="bottomLeft"/>
      <selection pane="bottomRight" activeCell="B5" sqref="B5"/>
    </sheetView>
  </sheetViews>
  <sheetFormatPr defaultRowHeight="13.5"/>
  <cols>
    <col min="1" max="3" width="19" customWidth="1"/>
    <col min="4" max="4" width="14" customWidth="1"/>
    <col min="5" max="5" width="19" customWidth="1"/>
    <col min="6" max="6" width="23" customWidth="1"/>
    <col min="7" max="19" width="19" customWidth="1"/>
  </cols>
  <sheetData>
    <row r="1" spans="1:19" ht="23" customHeight="1">
      <c r="A1" s="1"/>
      <c r="B1" s="1"/>
      <c r="C1" s="1"/>
      <c r="D1" s="1"/>
      <c r="E1" s="1"/>
      <c r="F1" s="1"/>
      <c r="G1" s="1"/>
      <c r="H1" s="1"/>
      <c r="I1" s="1"/>
      <c r="J1" s="1"/>
      <c r="K1" s="1"/>
      <c r="L1" s="1"/>
      <c r="M1" s="1"/>
      <c r="N1" s="1"/>
      <c r="O1" s="1"/>
      <c r="P1" s="1"/>
      <c r="Q1" s="1"/>
      <c r="R1" s="1"/>
      <c r="S1" s="1"/>
    </row>
    <row r="2" spans="1:19" ht="23" customHeight="1">
      <c r="A2" s="12" t="s">
        <v>33</v>
      </c>
      <c r="B2" s="12"/>
      <c r="C2" s="12"/>
      <c r="D2" s="12"/>
      <c r="E2" s="12"/>
      <c r="F2" s="12"/>
      <c r="G2" s="12"/>
      <c r="H2" s="12"/>
      <c r="I2" s="12"/>
      <c r="J2" s="12"/>
      <c r="K2" s="12"/>
      <c r="L2" s="1"/>
      <c r="M2" s="1"/>
      <c r="N2" s="1"/>
      <c r="O2" s="1"/>
      <c r="P2" s="1"/>
      <c r="Q2" s="1"/>
      <c r="R2" s="1"/>
      <c r="S2" s="1"/>
    </row>
    <row r="3" spans="1:19" ht="23" customHeight="1">
      <c r="A3" s="1"/>
      <c r="B3" s="1"/>
      <c r="C3" s="1"/>
      <c r="D3" s="1"/>
      <c r="E3" s="1"/>
      <c r="F3" s="1"/>
      <c r="G3" s="1"/>
      <c r="H3" s="1"/>
      <c r="I3" s="1"/>
      <c r="J3" s="1"/>
      <c r="K3" s="1"/>
      <c r="L3" s="1"/>
      <c r="M3" s="1"/>
      <c r="N3" s="1"/>
      <c r="O3" s="1"/>
      <c r="P3" s="1"/>
      <c r="Q3" s="1"/>
      <c r="R3" s="1"/>
      <c r="S3" s="1"/>
    </row>
    <row r="4" spans="1:19" ht="38" customHeight="1">
      <c r="A4" s="6" t="s">
        <v>34</v>
      </c>
      <c r="B4" s="6" t="s">
        <v>35</v>
      </c>
      <c r="C4" s="6" t="s">
        <v>36</v>
      </c>
      <c r="D4" s="6" t="s">
        <v>37</v>
      </c>
      <c r="E4" s="6" t="s">
        <v>38</v>
      </c>
      <c r="F4" s="6" t="s">
        <v>39</v>
      </c>
      <c r="G4" s="6" t="s">
        <v>40</v>
      </c>
      <c r="H4" s="6" t="s">
        <v>41</v>
      </c>
      <c r="I4" s="6" t="s">
        <v>42</v>
      </c>
      <c r="J4" s="6" t="s">
        <v>43</v>
      </c>
      <c r="K4" s="6" t="s">
        <v>44</v>
      </c>
      <c r="L4" s="6" t="s">
        <v>45</v>
      </c>
      <c r="M4" s="6" t="s">
        <v>46</v>
      </c>
      <c r="N4" s="6" t="s">
        <v>47</v>
      </c>
      <c r="O4" s="6" t="s">
        <v>48</v>
      </c>
      <c r="P4" s="6" t="s">
        <v>49</v>
      </c>
      <c r="Q4" s="6" t="s">
        <v>50</v>
      </c>
      <c r="R4" s="6" t="s">
        <v>51</v>
      </c>
      <c r="S4" s="6" t="s">
        <v>52</v>
      </c>
    </row>
    <row r="5" spans="1:19" ht="23" customHeight="1">
      <c r="A5" s="1" t="s">
        <v>53</v>
      </c>
      <c r="B5" s="4">
        <v>46040</v>
      </c>
      <c r="C5" s="1" t="s">
        <v>19</v>
      </c>
      <c r="D5" s="1" t="s">
        <v>54</v>
      </c>
      <c r="E5" s="5">
        <v>16000</v>
      </c>
      <c r="F5" s="1">
        <v>0</v>
      </c>
      <c r="G5" s="4">
        <v>46042</v>
      </c>
      <c r="H5" s="4">
        <v>46046</v>
      </c>
      <c r="I5" s="4">
        <v>46049</v>
      </c>
      <c r="J5" s="4"/>
      <c r="K5" s="1" t="s">
        <v>55</v>
      </c>
      <c r="L5" s="7">
        <f t="shared" ref="L5:L68" si="0">IF(OR(K5="Approved",K5="Declined"),1,0)</f>
        <v>1</v>
      </c>
      <c r="M5" s="7">
        <f t="shared" ref="M5:M68" si="1">IF(L5=1,I5-B5,"")</f>
        <v>9</v>
      </c>
      <c r="N5" s="7">
        <f t="shared" ref="N5:N68" si="2">IF(L5=1,G5-B5,"")</f>
        <v>2</v>
      </c>
      <c r="O5" s="7">
        <f t="shared" ref="O5:O68" si="3">IF(L5=1,H5-G5,"")</f>
        <v>4</v>
      </c>
      <c r="P5" s="7">
        <f t="shared" ref="P5:P68" si="4">IF(L5=1,I5-H5,"")</f>
        <v>3</v>
      </c>
      <c r="Q5" s="7" t="str">
        <f>IF(K5="Open",Summary!$B$6-B5,"")</f>
        <v/>
      </c>
      <c r="R5" s="7">
        <f>IF(L5=1,IF(M5&lt;=Summary!$B$5,1,0),"")</f>
        <v>0</v>
      </c>
      <c r="S5" s="1" t="str">
        <f t="shared" ref="S5:S68" si="5">TEXT(B5,"yyyy-mm")</f>
        <v>2026-01</v>
      </c>
    </row>
    <row r="6" spans="1:19" ht="23" customHeight="1">
      <c r="A6" s="1" t="s">
        <v>56</v>
      </c>
      <c r="B6" s="4">
        <v>46035</v>
      </c>
      <c r="C6" s="1" t="s">
        <v>19</v>
      </c>
      <c r="D6" s="1" t="s">
        <v>54</v>
      </c>
      <c r="E6" s="5">
        <v>15000</v>
      </c>
      <c r="F6" s="1">
        <v>0</v>
      </c>
      <c r="G6" s="4">
        <v>46037</v>
      </c>
      <c r="H6" s="4">
        <v>46039</v>
      </c>
      <c r="I6" s="4">
        <v>46042</v>
      </c>
      <c r="J6" s="4"/>
      <c r="K6" s="1" t="s">
        <v>55</v>
      </c>
      <c r="L6" s="7">
        <f t="shared" si="0"/>
        <v>1</v>
      </c>
      <c r="M6" s="7">
        <f t="shared" si="1"/>
        <v>7</v>
      </c>
      <c r="N6" s="7">
        <f t="shared" si="2"/>
        <v>2</v>
      </c>
      <c r="O6" s="7">
        <f t="shared" si="3"/>
        <v>2</v>
      </c>
      <c r="P6" s="7">
        <f t="shared" si="4"/>
        <v>3</v>
      </c>
      <c r="Q6" s="7" t="str">
        <f>IF(K6="Open",Summary!$B$6-B6,"")</f>
        <v/>
      </c>
      <c r="R6" s="7">
        <f>IF(L6=1,IF(M6&lt;=Summary!$B$5,1,0),"")</f>
        <v>1</v>
      </c>
      <c r="S6" s="1" t="str">
        <f t="shared" si="5"/>
        <v>2026-01</v>
      </c>
    </row>
    <row r="7" spans="1:19" ht="23" customHeight="1">
      <c r="A7" s="1" t="s">
        <v>57</v>
      </c>
      <c r="B7" s="4">
        <v>46103</v>
      </c>
      <c r="C7" s="1" t="s">
        <v>19</v>
      </c>
      <c r="D7" s="1" t="s">
        <v>54</v>
      </c>
      <c r="E7" s="5">
        <v>43000</v>
      </c>
      <c r="F7" s="1">
        <v>0</v>
      </c>
      <c r="G7" s="4">
        <v>46105</v>
      </c>
      <c r="H7" s="4">
        <v>46106</v>
      </c>
      <c r="I7" s="4">
        <v>46109</v>
      </c>
      <c r="J7" s="4"/>
      <c r="K7" s="1" t="s">
        <v>55</v>
      </c>
      <c r="L7" s="7">
        <f t="shared" si="0"/>
        <v>1</v>
      </c>
      <c r="M7" s="7">
        <f t="shared" si="1"/>
        <v>6</v>
      </c>
      <c r="N7" s="7">
        <f t="shared" si="2"/>
        <v>2</v>
      </c>
      <c r="O7" s="7">
        <f t="shared" si="3"/>
        <v>1</v>
      </c>
      <c r="P7" s="7">
        <f t="shared" si="4"/>
        <v>3</v>
      </c>
      <c r="Q7" s="7" t="str">
        <f>IF(K7="Open",Summary!$B$6-B7,"")</f>
        <v/>
      </c>
      <c r="R7" s="7">
        <f>IF(L7=1,IF(M7&lt;=Summary!$B$5,1,0),"")</f>
        <v>1</v>
      </c>
      <c r="S7" s="1" t="str">
        <f t="shared" si="5"/>
        <v>2026-03</v>
      </c>
    </row>
    <row r="8" spans="1:19" ht="23" customHeight="1">
      <c r="A8" s="1" t="s">
        <v>58</v>
      </c>
      <c r="B8" s="4">
        <v>46083</v>
      </c>
      <c r="C8" s="1" t="s">
        <v>18</v>
      </c>
      <c r="D8" s="1" t="s">
        <v>59</v>
      </c>
      <c r="E8" s="5">
        <v>12000</v>
      </c>
      <c r="F8" s="1">
        <v>0</v>
      </c>
      <c r="G8" s="4">
        <v>46085</v>
      </c>
      <c r="H8" s="4">
        <v>46088</v>
      </c>
      <c r="I8" s="4">
        <v>46091</v>
      </c>
      <c r="J8" s="4"/>
      <c r="K8" s="1" t="s">
        <v>55</v>
      </c>
      <c r="L8" s="7">
        <f t="shared" si="0"/>
        <v>1</v>
      </c>
      <c r="M8" s="7">
        <f t="shared" si="1"/>
        <v>8</v>
      </c>
      <c r="N8" s="7">
        <f t="shared" si="2"/>
        <v>2</v>
      </c>
      <c r="O8" s="7">
        <f t="shared" si="3"/>
        <v>3</v>
      </c>
      <c r="P8" s="7">
        <f t="shared" si="4"/>
        <v>3</v>
      </c>
      <c r="Q8" s="7" t="str">
        <f>IF(K8="Open",Summary!$B$6-B8,"")</f>
        <v/>
      </c>
      <c r="R8" s="7">
        <f>IF(L8=1,IF(M8&lt;=Summary!$B$5,1,0),"")</f>
        <v>0</v>
      </c>
      <c r="S8" s="1" t="str">
        <f t="shared" si="5"/>
        <v>2026-03</v>
      </c>
    </row>
    <row r="9" spans="1:19" ht="23" customHeight="1">
      <c r="A9" s="1" t="s">
        <v>60</v>
      </c>
      <c r="B9" s="4">
        <v>46078</v>
      </c>
      <c r="C9" s="1" t="s">
        <v>19</v>
      </c>
      <c r="D9" s="1" t="s">
        <v>54</v>
      </c>
      <c r="E9" s="5">
        <v>6000</v>
      </c>
      <c r="F9" s="1">
        <v>0</v>
      </c>
      <c r="G9" s="4">
        <v>46080</v>
      </c>
      <c r="H9" s="4">
        <v>46085</v>
      </c>
      <c r="I9" s="4">
        <v>46086</v>
      </c>
      <c r="J9" s="4"/>
      <c r="K9" s="1" t="s">
        <v>55</v>
      </c>
      <c r="L9" s="7">
        <f t="shared" si="0"/>
        <v>1</v>
      </c>
      <c r="M9" s="7">
        <f t="shared" si="1"/>
        <v>8</v>
      </c>
      <c r="N9" s="7">
        <f t="shared" si="2"/>
        <v>2</v>
      </c>
      <c r="O9" s="7">
        <f t="shared" si="3"/>
        <v>5</v>
      </c>
      <c r="P9" s="7">
        <f t="shared" si="4"/>
        <v>1</v>
      </c>
      <c r="Q9" s="7" t="str">
        <f>IF(K9="Open",Summary!$B$6-B9,"")</f>
        <v/>
      </c>
      <c r="R9" s="7">
        <f>IF(L9=1,IF(M9&lt;=Summary!$B$5,1,0),"")</f>
        <v>0</v>
      </c>
      <c r="S9" s="1" t="str">
        <f t="shared" si="5"/>
        <v>2026-02</v>
      </c>
    </row>
    <row r="10" spans="1:19" ht="23" customHeight="1">
      <c r="A10" s="1" t="s">
        <v>61</v>
      </c>
      <c r="B10" s="4">
        <v>46083</v>
      </c>
      <c r="C10" s="1" t="s">
        <v>18</v>
      </c>
      <c r="D10" s="1" t="s">
        <v>62</v>
      </c>
      <c r="E10" s="5">
        <v>38000</v>
      </c>
      <c r="F10" s="1">
        <v>0</v>
      </c>
      <c r="G10" s="4">
        <v>46083</v>
      </c>
      <c r="H10" s="4">
        <v>46087</v>
      </c>
      <c r="I10" s="4">
        <v>46089</v>
      </c>
      <c r="J10" s="4"/>
      <c r="K10" s="1" t="s">
        <v>63</v>
      </c>
      <c r="L10" s="7">
        <f t="shared" si="0"/>
        <v>1</v>
      </c>
      <c r="M10" s="7">
        <f t="shared" si="1"/>
        <v>6</v>
      </c>
      <c r="N10" s="7">
        <f t="shared" si="2"/>
        <v>0</v>
      </c>
      <c r="O10" s="7">
        <f t="shared" si="3"/>
        <v>4</v>
      </c>
      <c r="P10" s="7">
        <f t="shared" si="4"/>
        <v>2</v>
      </c>
      <c r="Q10" s="7" t="str">
        <f>IF(K10="Open",Summary!$B$6-B10,"")</f>
        <v/>
      </c>
      <c r="R10" s="7">
        <f>IF(L10=1,IF(M10&lt;=Summary!$B$5,1,0),"")</f>
        <v>1</v>
      </c>
      <c r="S10" s="1" t="str">
        <f t="shared" si="5"/>
        <v>2026-03</v>
      </c>
    </row>
    <row r="11" spans="1:19" ht="23" customHeight="1">
      <c r="A11" s="1" t="s">
        <v>64</v>
      </c>
      <c r="B11" s="4">
        <v>46092</v>
      </c>
      <c r="C11" s="1" t="s">
        <v>18</v>
      </c>
      <c r="D11" s="1" t="s">
        <v>65</v>
      </c>
      <c r="E11" s="5">
        <v>13000</v>
      </c>
      <c r="F11" s="1">
        <v>0</v>
      </c>
      <c r="G11" s="4">
        <v>46093</v>
      </c>
      <c r="H11" s="4">
        <v>46097</v>
      </c>
      <c r="I11" s="4">
        <v>46099</v>
      </c>
      <c r="J11" s="4"/>
      <c r="K11" s="1" t="s">
        <v>55</v>
      </c>
      <c r="L11" s="7">
        <f t="shared" si="0"/>
        <v>1</v>
      </c>
      <c r="M11" s="7">
        <f t="shared" si="1"/>
        <v>7</v>
      </c>
      <c r="N11" s="7">
        <f t="shared" si="2"/>
        <v>1</v>
      </c>
      <c r="O11" s="7">
        <f t="shared" si="3"/>
        <v>4</v>
      </c>
      <c r="P11" s="7">
        <f t="shared" si="4"/>
        <v>2</v>
      </c>
      <c r="Q11" s="7" t="str">
        <f>IF(K11="Open",Summary!$B$6-B11,"")</f>
        <v/>
      </c>
      <c r="R11" s="7">
        <f>IF(L11=1,IF(M11&lt;=Summary!$B$5,1,0),"")</f>
        <v>1</v>
      </c>
      <c r="S11" s="1" t="str">
        <f t="shared" si="5"/>
        <v>2026-03</v>
      </c>
    </row>
    <row r="12" spans="1:19" ht="23" customHeight="1">
      <c r="A12" s="1" t="s">
        <v>66</v>
      </c>
      <c r="B12" s="4">
        <v>46038</v>
      </c>
      <c r="C12" s="1" t="s">
        <v>18</v>
      </c>
      <c r="D12" s="1" t="s">
        <v>62</v>
      </c>
      <c r="E12" s="5">
        <v>43000</v>
      </c>
      <c r="F12" s="1">
        <v>0</v>
      </c>
      <c r="G12" s="4">
        <v>46040</v>
      </c>
      <c r="H12" s="4">
        <v>46043</v>
      </c>
      <c r="I12" s="4">
        <v>46045</v>
      </c>
      <c r="J12" s="4"/>
      <c r="K12" s="1" t="s">
        <v>55</v>
      </c>
      <c r="L12" s="7">
        <f t="shared" si="0"/>
        <v>1</v>
      </c>
      <c r="M12" s="7">
        <f t="shared" si="1"/>
        <v>7</v>
      </c>
      <c r="N12" s="7">
        <f t="shared" si="2"/>
        <v>2</v>
      </c>
      <c r="O12" s="7">
        <f t="shared" si="3"/>
        <v>3</v>
      </c>
      <c r="P12" s="7">
        <f t="shared" si="4"/>
        <v>2</v>
      </c>
      <c r="Q12" s="7" t="str">
        <f>IF(K12="Open",Summary!$B$6-B12,"")</f>
        <v/>
      </c>
      <c r="R12" s="7">
        <f>IF(L12=1,IF(M12&lt;=Summary!$B$5,1,0),"")</f>
        <v>1</v>
      </c>
      <c r="S12" s="1" t="str">
        <f t="shared" si="5"/>
        <v>2026-01</v>
      </c>
    </row>
    <row r="13" spans="1:19" ht="23" customHeight="1">
      <c r="A13" s="1" t="s">
        <v>67</v>
      </c>
      <c r="B13" s="4">
        <v>46103</v>
      </c>
      <c r="C13" s="1" t="s">
        <v>18</v>
      </c>
      <c r="D13" s="1" t="s">
        <v>65</v>
      </c>
      <c r="E13" s="5">
        <v>29000</v>
      </c>
      <c r="F13" s="1">
        <v>1</v>
      </c>
      <c r="G13" s="4">
        <v>46107</v>
      </c>
      <c r="H13" s="4">
        <v>46110</v>
      </c>
      <c r="I13" s="4">
        <v>46111</v>
      </c>
      <c r="J13" s="4"/>
      <c r="K13" s="1" t="s">
        <v>63</v>
      </c>
      <c r="L13" s="7">
        <f t="shared" si="0"/>
        <v>1</v>
      </c>
      <c r="M13" s="7">
        <f t="shared" si="1"/>
        <v>8</v>
      </c>
      <c r="N13" s="7">
        <f t="shared" si="2"/>
        <v>4</v>
      </c>
      <c r="O13" s="7">
        <f t="shared" si="3"/>
        <v>3</v>
      </c>
      <c r="P13" s="7">
        <f t="shared" si="4"/>
        <v>1</v>
      </c>
      <c r="Q13" s="7" t="str">
        <f>IF(K13="Open",Summary!$B$6-B13,"")</f>
        <v/>
      </c>
      <c r="R13" s="7">
        <f>IF(L13=1,IF(M13&lt;=Summary!$B$5,1,0),"")</f>
        <v>0</v>
      </c>
      <c r="S13" s="1" t="str">
        <f t="shared" si="5"/>
        <v>2026-03</v>
      </c>
    </row>
    <row r="14" spans="1:19" ht="23" customHeight="1">
      <c r="A14" s="1" t="s">
        <v>68</v>
      </c>
      <c r="B14" s="4">
        <v>46110</v>
      </c>
      <c r="C14" s="1" t="s">
        <v>19</v>
      </c>
      <c r="D14" s="1" t="s">
        <v>54</v>
      </c>
      <c r="E14" s="5">
        <v>12000</v>
      </c>
      <c r="F14" s="1">
        <v>0</v>
      </c>
      <c r="G14" s="4">
        <v>46110</v>
      </c>
      <c r="H14" s="4"/>
      <c r="I14" s="4"/>
      <c r="J14" s="4"/>
      <c r="K14" s="1" t="s">
        <v>69</v>
      </c>
      <c r="L14" s="7">
        <f t="shared" si="0"/>
        <v>0</v>
      </c>
      <c r="M14" s="7" t="str">
        <f t="shared" si="1"/>
        <v/>
      </c>
      <c r="N14" s="7" t="str">
        <f t="shared" si="2"/>
        <v/>
      </c>
      <c r="O14" s="7" t="str">
        <f t="shared" si="3"/>
        <v/>
      </c>
      <c r="P14" s="7" t="str">
        <f t="shared" si="4"/>
        <v/>
      </c>
      <c r="Q14" s="7">
        <f>IF(K14="Open",Summary!$B$6-B14,"")</f>
        <v>2</v>
      </c>
      <c r="R14" s="7" t="str">
        <f>IF(L14=1,IF(M14&lt;=Summary!$B$5,1,0),"")</f>
        <v/>
      </c>
      <c r="S14" s="1" t="str">
        <f t="shared" si="5"/>
        <v>2026-03</v>
      </c>
    </row>
    <row r="15" spans="1:19" ht="23" customHeight="1">
      <c r="A15" s="1" t="s">
        <v>70</v>
      </c>
      <c r="B15" s="4">
        <v>46046</v>
      </c>
      <c r="C15" s="1" t="s">
        <v>18</v>
      </c>
      <c r="D15" s="1" t="s">
        <v>71</v>
      </c>
      <c r="E15" s="5">
        <v>33000</v>
      </c>
      <c r="F15" s="1">
        <v>1</v>
      </c>
      <c r="G15" s="4">
        <v>46056</v>
      </c>
      <c r="H15" s="4">
        <v>46057</v>
      </c>
      <c r="I15" s="4">
        <v>46058</v>
      </c>
      <c r="J15" s="4"/>
      <c r="K15" s="1" t="s">
        <v>63</v>
      </c>
      <c r="L15" s="7">
        <f t="shared" si="0"/>
        <v>1</v>
      </c>
      <c r="M15" s="7">
        <f t="shared" si="1"/>
        <v>12</v>
      </c>
      <c r="N15" s="7">
        <f t="shared" si="2"/>
        <v>10</v>
      </c>
      <c r="O15" s="7">
        <f t="shared" si="3"/>
        <v>1</v>
      </c>
      <c r="P15" s="7">
        <f t="shared" si="4"/>
        <v>1</v>
      </c>
      <c r="Q15" s="7" t="str">
        <f>IF(K15="Open",Summary!$B$6-B15,"")</f>
        <v/>
      </c>
      <c r="R15" s="7">
        <f>IF(L15=1,IF(M15&lt;=Summary!$B$5,1,0),"")</f>
        <v>0</v>
      </c>
      <c r="S15" s="1" t="str">
        <f t="shared" si="5"/>
        <v>2026-01</v>
      </c>
    </row>
    <row r="16" spans="1:19" ht="23" customHeight="1">
      <c r="A16" s="1" t="s">
        <v>72</v>
      </c>
      <c r="B16" s="4">
        <v>46100</v>
      </c>
      <c r="C16" s="1" t="s">
        <v>18</v>
      </c>
      <c r="D16" s="1" t="s">
        <v>59</v>
      </c>
      <c r="E16" s="5">
        <v>30000</v>
      </c>
      <c r="F16" s="1">
        <v>0</v>
      </c>
      <c r="G16" s="4">
        <v>46100</v>
      </c>
      <c r="H16" s="4">
        <v>46104</v>
      </c>
      <c r="I16" s="4">
        <v>46106</v>
      </c>
      <c r="J16" s="4"/>
      <c r="K16" s="1" t="s">
        <v>63</v>
      </c>
      <c r="L16" s="7">
        <f t="shared" si="0"/>
        <v>1</v>
      </c>
      <c r="M16" s="7">
        <f t="shared" si="1"/>
        <v>6</v>
      </c>
      <c r="N16" s="7">
        <f t="shared" si="2"/>
        <v>0</v>
      </c>
      <c r="O16" s="7">
        <f t="shared" si="3"/>
        <v>4</v>
      </c>
      <c r="P16" s="7">
        <f t="shared" si="4"/>
        <v>2</v>
      </c>
      <c r="Q16" s="7" t="str">
        <f>IF(K16="Open",Summary!$B$6-B16,"")</f>
        <v/>
      </c>
      <c r="R16" s="7">
        <f>IF(L16=1,IF(M16&lt;=Summary!$B$5,1,0),"")</f>
        <v>1</v>
      </c>
      <c r="S16" s="1" t="str">
        <f t="shared" si="5"/>
        <v>2026-03</v>
      </c>
    </row>
    <row r="17" spans="1:19" ht="23" customHeight="1">
      <c r="A17" s="1" t="s">
        <v>73</v>
      </c>
      <c r="B17" s="4">
        <v>46078</v>
      </c>
      <c r="C17" s="1" t="s">
        <v>18</v>
      </c>
      <c r="D17" s="1" t="s">
        <v>62</v>
      </c>
      <c r="E17" s="5">
        <v>30000</v>
      </c>
      <c r="F17" s="1">
        <v>0</v>
      </c>
      <c r="G17" s="4">
        <v>46080</v>
      </c>
      <c r="H17" s="4">
        <v>46086</v>
      </c>
      <c r="I17" s="4">
        <v>46087</v>
      </c>
      <c r="J17" s="4"/>
      <c r="K17" s="1" t="s">
        <v>55</v>
      </c>
      <c r="L17" s="7">
        <f t="shared" si="0"/>
        <v>1</v>
      </c>
      <c r="M17" s="7">
        <f t="shared" si="1"/>
        <v>9</v>
      </c>
      <c r="N17" s="7">
        <f t="shared" si="2"/>
        <v>2</v>
      </c>
      <c r="O17" s="7">
        <f t="shared" si="3"/>
        <v>6</v>
      </c>
      <c r="P17" s="7">
        <f t="shared" si="4"/>
        <v>1</v>
      </c>
      <c r="Q17" s="7" t="str">
        <f>IF(K17="Open",Summary!$B$6-B17,"")</f>
        <v/>
      </c>
      <c r="R17" s="7">
        <f>IF(L17=1,IF(M17&lt;=Summary!$B$5,1,0),"")</f>
        <v>0</v>
      </c>
      <c r="S17" s="1" t="str">
        <f t="shared" si="5"/>
        <v>2026-02</v>
      </c>
    </row>
    <row r="18" spans="1:19" ht="23" customHeight="1">
      <c r="A18" s="1" t="s">
        <v>74</v>
      </c>
      <c r="B18" s="4">
        <v>46074</v>
      </c>
      <c r="C18" s="1" t="s">
        <v>19</v>
      </c>
      <c r="D18" s="1" t="s">
        <v>54</v>
      </c>
      <c r="E18" s="5">
        <v>20000</v>
      </c>
      <c r="F18" s="1">
        <v>0</v>
      </c>
      <c r="G18" s="4">
        <v>46075</v>
      </c>
      <c r="H18" s="4">
        <v>46081</v>
      </c>
      <c r="I18" s="4">
        <v>46082</v>
      </c>
      <c r="J18" s="4"/>
      <c r="K18" s="1" t="s">
        <v>63</v>
      </c>
      <c r="L18" s="7">
        <f t="shared" si="0"/>
        <v>1</v>
      </c>
      <c r="M18" s="7">
        <f t="shared" si="1"/>
        <v>8</v>
      </c>
      <c r="N18" s="7">
        <f t="shared" si="2"/>
        <v>1</v>
      </c>
      <c r="O18" s="7">
        <f t="shared" si="3"/>
        <v>6</v>
      </c>
      <c r="P18" s="7">
        <f t="shared" si="4"/>
        <v>1</v>
      </c>
      <c r="Q18" s="7" t="str">
        <f>IF(K18="Open",Summary!$B$6-B18,"")</f>
        <v/>
      </c>
      <c r="R18" s="7">
        <f>IF(L18=1,IF(M18&lt;=Summary!$B$5,1,0),"")</f>
        <v>0</v>
      </c>
      <c r="S18" s="1" t="str">
        <f t="shared" si="5"/>
        <v>2026-02</v>
      </c>
    </row>
    <row r="19" spans="1:19" ht="23" customHeight="1">
      <c r="A19" s="1" t="s">
        <v>75</v>
      </c>
      <c r="B19" s="4">
        <v>46049</v>
      </c>
      <c r="C19" s="1" t="s">
        <v>19</v>
      </c>
      <c r="D19" s="1" t="s">
        <v>54</v>
      </c>
      <c r="E19" s="5">
        <v>18000</v>
      </c>
      <c r="F19" s="1">
        <v>0</v>
      </c>
      <c r="G19" s="4">
        <v>46050</v>
      </c>
      <c r="H19" s="4">
        <v>46051</v>
      </c>
      <c r="I19" s="4">
        <v>46052</v>
      </c>
      <c r="J19" s="4"/>
      <c r="K19" s="1" t="s">
        <v>55</v>
      </c>
      <c r="L19" s="7">
        <f t="shared" si="0"/>
        <v>1</v>
      </c>
      <c r="M19" s="7">
        <f t="shared" si="1"/>
        <v>3</v>
      </c>
      <c r="N19" s="7">
        <f t="shared" si="2"/>
        <v>1</v>
      </c>
      <c r="O19" s="7">
        <f t="shared" si="3"/>
        <v>1</v>
      </c>
      <c r="P19" s="7">
        <f t="shared" si="4"/>
        <v>1</v>
      </c>
      <c r="Q19" s="7" t="str">
        <f>IF(K19="Open",Summary!$B$6-B19,"")</f>
        <v/>
      </c>
      <c r="R19" s="7">
        <f>IF(L19=1,IF(M19&lt;=Summary!$B$5,1,0),"")</f>
        <v>1</v>
      </c>
      <c r="S19" s="1" t="str">
        <f t="shared" si="5"/>
        <v>2026-01</v>
      </c>
    </row>
    <row r="20" spans="1:19" ht="23" customHeight="1">
      <c r="A20" s="1" t="s">
        <v>76</v>
      </c>
      <c r="B20" s="4">
        <v>46090</v>
      </c>
      <c r="C20" s="1" t="s">
        <v>19</v>
      </c>
      <c r="D20" s="1" t="s">
        <v>54</v>
      </c>
      <c r="E20" s="5">
        <v>16000</v>
      </c>
      <c r="F20" s="1">
        <v>0</v>
      </c>
      <c r="G20" s="4">
        <v>46092</v>
      </c>
      <c r="H20" s="4">
        <v>46097</v>
      </c>
      <c r="I20" s="4">
        <v>46100</v>
      </c>
      <c r="J20" s="4"/>
      <c r="K20" s="1" t="s">
        <v>55</v>
      </c>
      <c r="L20" s="7">
        <f t="shared" si="0"/>
        <v>1</v>
      </c>
      <c r="M20" s="7">
        <f t="shared" si="1"/>
        <v>10</v>
      </c>
      <c r="N20" s="7">
        <f t="shared" si="2"/>
        <v>2</v>
      </c>
      <c r="O20" s="7">
        <f t="shared" si="3"/>
        <v>5</v>
      </c>
      <c r="P20" s="7">
        <f t="shared" si="4"/>
        <v>3</v>
      </c>
      <c r="Q20" s="7" t="str">
        <f>IF(K20="Open",Summary!$B$6-B20,"")</f>
        <v/>
      </c>
      <c r="R20" s="7">
        <f>IF(L20=1,IF(M20&lt;=Summary!$B$5,1,0),"")</f>
        <v>0</v>
      </c>
      <c r="S20" s="1" t="str">
        <f t="shared" si="5"/>
        <v>2026-03</v>
      </c>
    </row>
    <row r="21" spans="1:19" ht="23" customHeight="1">
      <c r="A21" s="1" t="s">
        <v>77</v>
      </c>
      <c r="B21" s="4">
        <v>46078</v>
      </c>
      <c r="C21" s="1" t="s">
        <v>19</v>
      </c>
      <c r="D21" s="1" t="s">
        <v>54</v>
      </c>
      <c r="E21" s="5">
        <v>17000</v>
      </c>
      <c r="F21" s="1">
        <v>0</v>
      </c>
      <c r="G21" s="4">
        <v>46078</v>
      </c>
      <c r="H21" s="4">
        <v>46082</v>
      </c>
      <c r="I21" s="4">
        <v>46083</v>
      </c>
      <c r="J21" s="4"/>
      <c r="K21" s="1" t="s">
        <v>55</v>
      </c>
      <c r="L21" s="7">
        <f t="shared" si="0"/>
        <v>1</v>
      </c>
      <c r="M21" s="7">
        <f t="shared" si="1"/>
        <v>5</v>
      </c>
      <c r="N21" s="7">
        <f t="shared" si="2"/>
        <v>0</v>
      </c>
      <c r="O21" s="7">
        <f t="shared" si="3"/>
        <v>4</v>
      </c>
      <c r="P21" s="7">
        <f t="shared" si="4"/>
        <v>1</v>
      </c>
      <c r="Q21" s="7" t="str">
        <f>IF(K21="Open",Summary!$B$6-B21,"")</f>
        <v/>
      </c>
      <c r="R21" s="7">
        <f>IF(L21=1,IF(M21&lt;=Summary!$B$5,1,0),"")</f>
        <v>1</v>
      </c>
      <c r="S21" s="1" t="str">
        <f t="shared" si="5"/>
        <v>2026-02</v>
      </c>
    </row>
    <row r="22" spans="1:19" ht="23" customHeight="1">
      <c r="A22" s="1" t="s">
        <v>78</v>
      </c>
      <c r="B22" s="4">
        <v>46036</v>
      </c>
      <c r="C22" s="1" t="s">
        <v>18</v>
      </c>
      <c r="D22" s="1" t="s">
        <v>62</v>
      </c>
      <c r="E22" s="5">
        <v>33000</v>
      </c>
      <c r="F22" s="1">
        <v>0</v>
      </c>
      <c r="G22" s="4">
        <v>46038</v>
      </c>
      <c r="H22" s="4">
        <v>46046</v>
      </c>
      <c r="I22" s="4">
        <v>46049</v>
      </c>
      <c r="J22" s="4"/>
      <c r="K22" s="1" t="s">
        <v>55</v>
      </c>
      <c r="L22" s="7">
        <f t="shared" si="0"/>
        <v>1</v>
      </c>
      <c r="M22" s="7">
        <f t="shared" si="1"/>
        <v>13</v>
      </c>
      <c r="N22" s="7">
        <f t="shared" si="2"/>
        <v>2</v>
      </c>
      <c r="O22" s="7">
        <f t="shared" si="3"/>
        <v>8</v>
      </c>
      <c r="P22" s="7">
        <f t="shared" si="4"/>
        <v>3</v>
      </c>
      <c r="Q22" s="7" t="str">
        <f>IF(K22="Open",Summary!$B$6-B22,"")</f>
        <v/>
      </c>
      <c r="R22" s="7">
        <f>IF(L22=1,IF(M22&lt;=Summary!$B$5,1,0),"")</f>
        <v>0</v>
      </c>
      <c r="S22" s="1" t="str">
        <f t="shared" si="5"/>
        <v>2026-01</v>
      </c>
    </row>
    <row r="23" spans="1:19" ht="23" customHeight="1">
      <c r="A23" s="1" t="s">
        <v>79</v>
      </c>
      <c r="B23" s="4">
        <v>46031</v>
      </c>
      <c r="C23" s="1" t="s">
        <v>19</v>
      </c>
      <c r="D23" s="1" t="s">
        <v>54</v>
      </c>
      <c r="E23" s="5">
        <v>32000</v>
      </c>
      <c r="F23" s="1">
        <v>1</v>
      </c>
      <c r="G23" s="4">
        <v>46039</v>
      </c>
      <c r="H23" s="4">
        <v>46045</v>
      </c>
      <c r="I23" s="4">
        <v>46047</v>
      </c>
      <c r="J23" s="4"/>
      <c r="K23" s="1" t="s">
        <v>55</v>
      </c>
      <c r="L23" s="7">
        <f t="shared" si="0"/>
        <v>1</v>
      </c>
      <c r="M23" s="7">
        <f t="shared" si="1"/>
        <v>16</v>
      </c>
      <c r="N23" s="7">
        <f t="shared" si="2"/>
        <v>8</v>
      </c>
      <c r="O23" s="7">
        <f t="shared" si="3"/>
        <v>6</v>
      </c>
      <c r="P23" s="7">
        <f t="shared" si="4"/>
        <v>2</v>
      </c>
      <c r="Q23" s="7" t="str">
        <f>IF(K23="Open",Summary!$B$6-B23,"")</f>
        <v/>
      </c>
      <c r="R23" s="7">
        <f>IF(L23=1,IF(M23&lt;=Summary!$B$5,1,0),"")</f>
        <v>0</v>
      </c>
      <c r="S23" s="1" t="str">
        <f t="shared" si="5"/>
        <v>2026-01</v>
      </c>
    </row>
    <row r="24" spans="1:19" ht="23" customHeight="1">
      <c r="A24" s="1" t="s">
        <v>80</v>
      </c>
      <c r="B24" s="4">
        <v>46093</v>
      </c>
      <c r="C24" s="1" t="s">
        <v>18</v>
      </c>
      <c r="D24" s="1" t="s">
        <v>59</v>
      </c>
      <c r="E24" s="5">
        <v>5000</v>
      </c>
      <c r="F24" s="1">
        <v>0</v>
      </c>
      <c r="G24" s="4">
        <v>46095</v>
      </c>
      <c r="H24" s="4">
        <v>46097</v>
      </c>
      <c r="I24" s="4">
        <v>46100</v>
      </c>
      <c r="J24" s="4"/>
      <c r="K24" s="1" t="s">
        <v>55</v>
      </c>
      <c r="L24" s="7">
        <f t="shared" si="0"/>
        <v>1</v>
      </c>
      <c r="M24" s="7">
        <f t="shared" si="1"/>
        <v>7</v>
      </c>
      <c r="N24" s="7">
        <f t="shared" si="2"/>
        <v>2</v>
      </c>
      <c r="O24" s="7">
        <f t="shared" si="3"/>
        <v>2</v>
      </c>
      <c r="P24" s="7">
        <f t="shared" si="4"/>
        <v>3</v>
      </c>
      <c r="Q24" s="7" t="str">
        <f>IF(K24="Open",Summary!$B$6-B24,"")</f>
        <v/>
      </c>
      <c r="R24" s="7">
        <f>IF(L24=1,IF(M24&lt;=Summary!$B$5,1,0),"")</f>
        <v>1</v>
      </c>
      <c r="S24" s="1" t="str">
        <f t="shared" si="5"/>
        <v>2026-03</v>
      </c>
    </row>
    <row r="25" spans="1:19" ht="23" customHeight="1">
      <c r="A25" s="1" t="s">
        <v>81</v>
      </c>
      <c r="B25" s="4">
        <v>46106</v>
      </c>
      <c r="C25" s="1" t="s">
        <v>18</v>
      </c>
      <c r="D25" s="1" t="s">
        <v>71</v>
      </c>
      <c r="E25" s="5">
        <v>28000</v>
      </c>
      <c r="F25" s="1">
        <v>0</v>
      </c>
      <c r="G25" s="4">
        <v>46107</v>
      </c>
      <c r="H25" s="4">
        <v>46110</v>
      </c>
      <c r="I25" s="4"/>
      <c r="J25" s="4"/>
      <c r="K25" s="1" t="s">
        <v>69</v>
      </c>
      <c r="L25" s="7">
        <f t="shared" si="0"/>
        <v>0</v>
      </c>
      <c r="M25" s="7" t="str">
        <f t="shared" si="1"/>
        <v/>
      </c>
      <c r="N25" s="7" t="str">
        <f t="shared" si="2"/>
        <v/>
      </c>
      <c r="O25" s="7" t="str">
        <f t="shared" si="3"/>
        <v/>
      </c>
      <c r="P25" s="7" t="str">
        <f t="shared" si="4"/>
        <v/>
      </c>
      <c r="Q25" s="7">
        <f>IF(K25="Open",Summary!$B$6-B25,"")</f>
        <v>6</v>
      </c>
      <c r="R25" s="7" t="str">
        <f>IF(L25=1,IF(M25&lt;=Summary!$B$5,1,0),"")</f>
        <v/>
      </c>
      <c r="S25" s="1" t="str">
        <f t="shared" si="5"/>
        <v>2026-03</v>
      </c>
    </row>
    <row r="26" spans="1:19" ht="23" customHeight="1">
      <c r="A26" s="1" t="s">
        <v>82</v>
      </c>
      <c r="B26" s="4">
        <v>46079</v>
      </c>
      <c r="C26" s="1" t="s">
        <v>19</v>
      </c>
      <c r="D26" s="1" t="s">
        <v>54</v>
      </c>
      <c r="E26" s="5">
        <v>44000</v>
      </c>
      <c r="F26" s="1">
        <v>0</v>
      </c>
      <c r="G26" s="4">
        <v>46081</v>
      </c>
      <c r="H26" s="4">
        <v>46083</v>
      </c>
      <c r="I26" s="4">
        <v>46085</v>
      </c>
      <c r="J26" s="4"/>
      <c r="K26" s="1" t="s">
        <v>63</v>
      </c>
      <c r="L26" s="7">
        <f t="shared" si="0"/>
        <v>1</v>
      </c>
      <c r="M26" s="7">
        <f t="shared" si="1"/>
        <v>6</v>
      </c>
      <c r="N26" s="7">
        <f t="shared" si="2"/>
        <v>2</v>
      </c>
      <c r="O26" s="7">
        <f t="shared" si="3"/>
        <v>2</v>
      </c>
      <c r="P26" s="7">
        <f t="shared" si="4"/>
        <v>2</v>
      </c>
      <c r="Q26" s="7" t="str">
        <f>IF(K26="Open",Summary!$B$6-B26,"")</f>
        <v/>
      </c>
      <c r="R26" s="7">
        <f>IF(L26=1,IF(M26&lt;=Summary!$B$5,1,0),"")</f>
        <v>1</v>
      </c>
      <c r="S26" s="1" t="str">
        <f t="shared" si="5"/>
        <v>2026-02</v>
      </c>
    </row>
    <row r="27" spans="1:19" ht="23" customHeight="1">
      <c r="A27" s="1" t="s">
        <v>83</v>
      </c>
      <c r="B27" s="4">
        <v>46101</v>
      </c>
      <c r="C27" s="1" t="s">
        <v>18</v>
      </c>
      <c r="D27" s="1" t="s">
        <v>59</v>
      </c>
      <c r="E27" s="5">
        <v>6000</v>
      </c>
      <c r="F27" s="1">
        <v>0</v>
      </c>
      <c r="G27" s="4">
        <v>46101</v>
      </c>
      <c r="H27" s="4">
        <v>46105</v>
      </c>
      <c r="I27" s="4">
        <v>46108</v>
      </c>
      <c r="J27" s="4"/>
      <c r="K27" s="1" t="s">
        <v>55</v>
      </c>
      <c r="L27" s="7">
        <f t="shared" si="0"/>
        <v>1</v>
      </c>
      <c r="M27" s="7">
        <f t="shared" si="1"/>
        <v>7</v>
      </c>
      <c r="N27" s="7">
        <f t="shared" si="2"/>
        <v>0</v>
      </c>
      <c r="O27" s="7">
        <f t="shared" si="3"/>
        <v>4</v>
      </c>
      <c r="P27" s="7">
        <f t="shared" si="4"/>
        <v>3</v>
      </c>
      <c r="Q27" s="7" t="str">
        <f>IF(K27="Open",Summary!$B$6-B27,"")</f>
        <v/>
      </c>
      <c r="R27" s="7">
        <f>IF(L27=1,IF(M27&lt;=Summary!$B$5,1,0),"")</f>
        <v>1</v>
      </c>
      <c r="S27" s="1" t="str">
        <f t="shared" si="5"/>
        <v>2026-03</v>
      </c>
    </row>
    <row r="28" spans="1:19" ht="23" customHeight="1">
      <c r="A28" s="1" t="s">
        <v>84</v>
      </c>
      <c r="B28" s="4">
        <v>46072</v>
      </c>
      <c r="C28" s="1" t="s">
        <v>19</v>
      </c>
      <c r="D28" s="1" t="s">
        <v>54</v>
      </c>
      <c r="E28" s="5">
        <v>11000</v>
      </c>
      <c r="F28" s="1">
        <v>0</v>
      </c>
      <c r="G28" s="4">
        <v>46073</v>
      </c>
      <c r="H28" s="4">
        <v>46077</v>
      </c>
      <c r="I28" s="4">
        <v>46079</v>
      </c>
      <c r="J28" s="4"/>
      <c r="K28" s="1" t="s">
        <v>55</v>
      </c>
      <c r="L28" s="7">
        <f t="shared" si="0"/>
        <v>1</v>
      </c>
      <c r="M28" s="7">
        <f t="shared" si="1"/>
        <v>7</v>
      </c>
      <c r="N28" s="7">
        <f t="shared" si="2"/>
        <v>1</v>
      </c>
      <c r="O28" s="7">
        <f t="shared" si="3"/>
        <v>4</v>
      </c>
      <c r="P28" s="7">
        <f t="shared" si="4"/>
        <v>2</v>
      </c>
      <c r="Q28" s="7" t="str">
        <f>IF(K28="Open",Summary!$B$6-B28,"")</f>
        <v/>
      </c>
      <c r="R28" s="7">
        <f>IF(L28=1,IF(M28&lt;=Summary!$B$5,1,0),"")</f>
        <v>1</v>
      </c>
      <c r="S28" s="1" t="str">
        <f t="shared" si="5"/>
        <v>2026-02</v>
      </c>
    </row>
    <row r="29" spans="1:19" ht="23" customHeight="1">
      <c r="A29" s="1" t="s">
        <v>85</v>
      </c>
      <c r="B29" s="4">
        <v>46069</v>
      </c>
      <c r="C29" s="1" t="s">
        <v>18</v>
      </c>
      <c r="D29" s="1" t="s">
        <v>59</v>
      </c>
      <c r="E29" s="5">
        <v>29000</v>
      </c>
      <c r="F29" s="1">
        <v>1</v>
      </c>
      <c r="G29" s="4"/>
      <c r="H29" s="4"/>
      <c r="I29" s="4"/>
      <c r="J29" s="4">
        <v>46071</v>
      </c>
      <c r="K29" s="1" t="s">
        <v>86</v>
      </c>
      <c r="L29" s="7">
        <f t="shared" si="0"/>
        <v>0</v>
      </c>
      <c r="M29" s="7" t="str">
        <f t="shared" si="1"/>
        <v/>
      </c>
      <c r="N29" s="7" t="str">
        <f t="shared" si="2"/>
        <v/>
      </c>
      <c r="O29" s="7" t="str">
        <f t="shared" si="3"/>
        <v/>
      </c>
      <c r="P29" s="7" t="str">
        <f t="shared" si="4"/>
        <v/>
      </c>
      <c r="Q29" s="7" t="str">
        <f>IF(K29="Open",Summary!$B$6-B29,"")</f>
        <v/>
      </c>
      <c r="R29" s="7" t="str">
        <f>IF(L29=1,IF(M29&lt;=Summary!$B$5,1,0),"")</f>
        <v/>
      </c>
      <c r="S29" s="1" t="str">
        <f t="shared" si="5"/>
        <v>2026-02</v>
      </c>
    </row>
    <row r="30" spans="1:19" ht="23" customHeight="1">
      <c r="A30" s="1" t="s">
        <v>87</v>
      </c>
      <c r="B30" s="4">
        <v>46036</v>
      </c>
      <c r="C30" s="1" t="s">
        <v>19</v>
      </c>
      <c r="D30" s="1" t="s">
        <v>54</v>
      </c>
      <c r="E30" s="5">
        <v>46000</v>
      </c>
      <c r="F30" s="1">
        <v>0</v>
      </c>
      <c r="G30" s="4">
        <v>46038</v>
      </c>
      <c r="H30" s="4">
        <v>46039</v>
      </c>
      <c r="I30" s="4">
        <v>46040</v>
      </c>
      <c r="J30" s="4"/>
      <c r="K30" s="1" t="s">
        <v>55</v>
      </c>
      <c r="L30" s="7">
        <f t="shared" si="0"/>
        <v>1</v>
      </c>
      <c r="M30" s="7">
        <f t="shared" si="1"/>
        <v>4</v>
      </c>
      <c r="N30" s="7">
        <f t="shared" si="2"/>
        <v>2</v>
      </c>
      <c r="O30" s="7">
        <f t="shared" si="3"/>
        <v>1</v>
      </c>
      <c r="P30" s="7">
        <f t="shared" si="4"/>
        <v>1</v>
      </c>
      <c r="Q30" s="7" t="str">
        <f>IF(K30="Open",Summary!$B$6-B30,"")</f>
        <v/>
      </c>
      <c r="R30" s="7">
        <f>IF(L30=1,IF(M30&lt;=Summary!$B$5,1,0),"")</f>
        <v>1</v>
      </c>
      <c r="S30" s="1" t="str">
        <f t="shared" si="5"/>
        <v>2026-01</v>
      </c>
    </row>
    <row r="31" spans="1:19" ht="23" customHeight="1">
      <c r="A31" s="1" t="s">
        <v>88</v>
      </c>
      <c r="B31" s="4">
        <v>46045</v>
      </c>
      <c r="C31" s="1" t="s">
        <v>19</v>
      </c>
      <c r="D31" s="1" t="s">
        <v>54</v>
      </c>
      <c r="E31" s="5">
        <v>12000</v>
      </c>
      <c r="F31" s="1">
        <v>0</v>
      </c>
      <c r="G31" s="4">
        <v>46047</v>
      </c>
      <c r="H31" s="4">
        <v>46053</v>
      </c>
      <c r="I31" s="4">
        <v>46056</v>
      </c>
      <c r="J31" s="4"/>
      <c r="K31" s="1" t="s">
        <v>63</v>
      </c>
      <c r="L31" s="7">
        <f t="shared" si="0"/>
        <v>1</v>
      </c>
      <c r="M31" s="7">
        <f t="shared" si="1"/>
        <v>11</v>
      </c>
      <c r="N31" s="7">
        <f t="shared" si="2"/>
        <v>2</v>
      </c>
      <c r="O31" s="7">
        <f t="shared" si="3"/>
        <v>6</v>
      </c>
      <c r="P31" s="7">
        <f t="shared" si="4"/>
        <v>3</v>
      </c>
      <c r="Q31" s="7" t="str">
        <f>IF(K31="Open",Summary!$B$6-B31,"")</f>
        <v/>
      </c>
      <c r="R31" s="7">
        <f>IF(L31=1,IF(M31&lt;=Summary!$B$5,1,0),"")</f>
        <v>0</v>
      </c>
      <c r="S31" s="1" t="str">
        <f t="shared" si="5"/>
        <v>2026-01</v>
      </c>
    </row>
    <row r="32" spans="1:19" ht="23" customHeight="1">
      <c r="A32" s="1" t="s">
        <v>89</v>
      </c>
      <c r="B32" s="4">
        <v>46052</v>
      </c>
      <c r="C32" s="1" t="s">
        <v>19</v>
      </c>
      <c r="D32" s="1" t="s">
        <v>54</v>
      </c>
      <c r="E32" s="5">
        <v>27000</v>
      </c>
      <c r="F32" s="1">
        <v>0</v>
      </c>
      <c r="G32" s="4">
        <v>46053</v>
      </c>
      <c r="H32" s="4">
        <v>46055</v>
      </c>
      <c r="I32" s="4">
        <v>46057</v>
      </c>
      <c r="J32" s="4"/>
      <c r="K32" s="1" t="s">
        <v>63</v>
      </c>
      <c r="L32" s="7">
        <f t="shared" si="0"/>
        <v>1</v>
      </c>
      <c r="M32" s="7">
        <f t="shared" si="1"/>
        <v>5</v>
      </c>
      <c r="N32" s="7">
        <f t="shared" si="2"/>
        <v>1</v>
      </c>
      <c r="O32" s="7">
        <f t="shared" si="3"/>
        <v>2</v>
      </c>
      <c r="P32" s="7">
        <f t="shared" si="4"/>
        <v>2</v>
      </c>
      <c r="Q32" s="7" t="str">
        <f>IF(K32="Open",Summary!$B$6-B32,"")</f>
        <v/>
      </c>
      <c r="R32" s="7">
        <f>IF(L32=1,IF(M32&lt;=Summary!$B$5,1,0),"")</f>
        <v>1</v>
      </c>
      <c r="S32" s="1" t="str">
        <f t="shared" si="5"/>
        <v>2026-01</v>
      </c>
    </row>
    <row r="33" spans="1:19" ht="23" customHeight="1">
      <c r="A33" s="1" t="s">
        <v>90</v>
      </c>
      <c r="B33" s="4">
        <v>46073</v>
      </c>
      <c r="C33" s="1" t="s">
        <v>18</v>
      </c>
      <c r="D33" s="1" t="s">
        <v>65</v>
      </c>
      <c r="E33" s="5">
        <v>11000</v>
      </c>
      <c r="F33" s="1">
        <v>1</v>
      </c>
      <c r="G33" s="4">
        <v>46077</v>
      </c>
      <c r="H33" s="4">
        <v>46082</v>
      </c>
      <c r="I33" s="4">
        <v>46085</v>
      </c>
      <c r="J33" s="4"/>
      <c r="K33" s="1" t="s">
        <v>55</v>
      </c>
      <c r="L33" s="7">
        <f t="shared" si="0"/>
        <v>1</v>
      </c>
      <c r="M33" s="7">
        <f t="shared" si="1"/>
        <v>12</v>
      </c>
      <c r="N33" s="7">
        <f t="shared" si="2"/>
        <v>4</v>
      </c>
      <c r="O33" s="7">
        <f t="shared" si="3"/>
        <v>5</v>
      </c>
      <c r="P33" s="7">
        <f t="shared" si="4"/>
        <v>3</v>
      </c>
      <c r="Q33" s="7" t="str">
        <f>IF(K33="Open",Summary!$B$6-B33,"")</f>
        <v/>
      </c>
      <c r="R33" s="7">
        <f>IF(L33=1,IF(M33&lt;=Summary!$B$5,1,0),"")</f>
        <v>0</v>
      </c>
      <c r="S33" s="1" t="str">
        <f t="shared" si="5"/>
        <v>2026-02</v>
      </c>
    </row>
    <row r="34" spans="1:19" ht="23" customHeight="1">
      <c r="A34" s="1" t="s">
        <v>91</v>
      </c>
      <c r="B34" s="4">
        <v>46073</v>
      </c>
      <c r="C34" s="1" t="s">
        <v>18</v>
      </c>
      <c r="D34" s="1" t="s">
        <v>59</v>
      </c>
      <c r="E34" s="5">
        <v>31000</v>
      </c>
      <c r="F34" s="1">
        <v>1</v>
      </c>
      <c r="G34" s="4">
        <v>46076</v>
      </c>
      <c r="H34" s="4">
        <v>46080</v>
      </c>
      <c r="I34" s="4">
        <v>46081</v>
      </c>
      <c r="J34" s="4"/>
      <c r="K34" s="1" t="s">
        <v>55</v>
      </c>
      <c r="L34" s="7">
        <f t="shared" si="0"/>
        <v>1</v>
      </c>
      <c r="M34" s="7">
        <f t="shared" si="1"/>
        <v>8</v>
      </c>
      <c r="N34" s="7">
        <f t="shared" si="2"/>
        <v>3</v>
      </c>
      <c r="O34" s="7">
        <f t="shared" si="3"/>
        <v>4</v>
      </c>
      <c r="P34" s="7">
        <f t="shared" si="4"/>
        <v>1</v>
      </c>
      <c r="Q34" s="7" t="str">
        <f>IF(K34="Open",Summary!$B$6-B34,"")</f>
        <v/>
      </c>
      <c r="R34" s="7">
        <f>IF(L34=1,IF(M34&lt;=Summary!$B$5,1,0),"")</f>
        <v>0</v>
      </c>
      <c r="S34" s="1" t="str">
        <f t="shared" si="5"/>
        <v>2026-02</v>
      </c>
    </row>
    <row r="35" spans="1:19" ht="23" customHeight="1">
      <c r="A35" s="1" t="s">
        <v>92</v>
      </c>
      <c r="B35" s="4">
        <v>46107</v>
      </c>
      <c r="C35" s="1" t="s">
        <v>19</v>
      </c>
      <c r="D35" s="1" t="s">
        <v>54</v>
      </c>
      <c r="E35" s="5">
        <v>24000</v>
      </c>
      <c r="F35" s="1">
        <v>0</v>
      </c>
      <c r="G35" s="4">
        <v>46108</v>
      </c>
      <c r="H35" s="4">
        <v>46112</v>
      </c>
      <c r="I35" s="4"/>
      <c r="J35" s="4"/>
      <c r="K35" s="1" t="s">
        <v>69</v>
      </c>
      <c r="L35" s="7">
        <f t="shared" si="0"/>
        <v>0</v>
      </c>
      <c r="M35" s="7" t="str">
        <f t="shared" si="1"/>
        <v/>
      </c>
      <c r="N35" s="7" t="str">
        <f t="shared" si="2"/>
        <v/>
      </c>
      <c r="O35" s="7" t="str">
        <f t="shared" si="3"/>
        <v/>
      </c>
      <c r="P35" s="7" t="str">
        <f t="shared" si="4"/>
        <v/>
      </c>
      <c r="Q35" s="7">
        <f>IF(K35="Open",Summary!$B$6-B35,"")</f>
        <v>5</v>
      </c>
      <c r="R35" s="7" t="str">
        <f>IF(L35=1,IF(M35&lt;=Summary!$B$5,1,0),"")</f>
        <v/>
      </c>
      <c r="S35" s="1" t="str">
        <f t="shared" si="5"/>
        <v>2026-03</v>
      </c>
    </row>
    <row r="36" spans="1:19" ht="23" customHeight="1">
      <c r="A36" s="1" t="s">
        <v>93</v>
      </c>
      <c r="B36" s="4">
        <v>46040</v>
      </c>
      <c r="C36" s="1" t="s">
        <v>19</v>
      </c>
      <c r="D36" s="1" t="s">
        <v>54</v>
      </c>
      <c r="E36" s="5">
        <v>21000</v>
      </c>
      <c r="F36" s="1">
        <v>0</v>
      </c>
      <c r="G36" s="4">
        <v>46040</v>
      </c>
      <c r="H36" s="4">
        <v>46046</v>
      </c>
      <c r="I36" s="4">
        <v>46049</v>
      </c>
      <c r="J36" s="4"/>
      <c r="K36" s="1" t="s">
        <v>55</v>
      </c>
      <c r="L36" s="7">
        <f t="shared" si="0"/>
        <v>1</v>
      </c>
      <c r="M36" s="7">
        <f t="shared" si="1"/>
        <v>9</v>
      </c>
      <c r="N36" s="7">
        <f t="shared" si="2"/>
        <v>0</v>
      </c>
      <c r="O36" s="7">
        <f t="shared" si="3"/>
        <v>6</v>
      </c>
      <c r="P36" s="7">
        <f t="shared" si="4"/>
        <v>3</v>
      </c>
      <c r="Q36" s="7" t="str">
        <f>IF(K36="Open",Summary!$B$6-B36,"")</f>
        <v/>
      </c>
      <c r="R36" s="7">
        <f>IF(L36=1,IF(M36&lt;=Summary!$B$5,1,0),"")</f>
        <v>0</v>
      </c>
      <c r="S36" s="1" t="str">
        <f t="shared" si="5"/>
        <v>2026-01</v>
      </c>
    </row>
    <row r="37" spans="1:19" ht="23" customHeight="1">
      <c r="A37" s="1" t="s">
        <v>94</v>
      </c>
      <c r="B37" s="4">
        <v>46057</v>
      </c>
      <c r="C37" s="1" t="s">
        <v>19</v>
      </c>
      <c r="D37" s="1" t="s">
        <v>54</v>
      </c>
      <c r="E37" s="5">
        <v>14000</v>
      </c>
      <c r="F37" s="1">
        <v>0</v>
      </c>
      <c r="G37" s="4">
        <v>46059</v>
      </c>
      <c r="H37" s="4">
        <v>46062</v>
      </c>
      <c r="I37" s="4">
        <v>46065</v>
      </c>
      <c r="J37" s="4"/>
      <c r="K37" s="1" t="s">
        <v>63</v>
      </c>
      <c r="L37" s="7">
        <f t="shared" si="0"/>
        <v>1</v>
      </c>
      <c r="M37" s="7">
        <f t="shared" si="1"/>
        <v>8</v>
      </c>
      <c r="N37" s="7">
        <f t="shared" si="2"/>
        <v>2</v>
      </c>
      <c r="O37" s="7">
        <f t="shared" si="3"/>
        <v>3</v>
      </c>
      <c r="P37" s="7">
        <f t="shared" si="4"/>
        <v>3</v>
      </c>
      <c r="Q37" s="7" t="str">
        <f>IF(K37="Open",Summary!$B$6-B37,"")</f>
        <v/>
      </c>
      <c r="R37" s="7">
        <f>IF(L37=1,IF(M37&lt;=Summary!$B$5,1,0),"")</f>
        <v>0</v>
      </c>
      <c r="S37" s="1" t="str">
        <f t="shared" si="5"/>
        <v>2026-02</v>
      </c>
    </row>
    <row r="38" spans="1:19" ht="23" customHeight="1">
      <c r="A38" s="1" t="s">
        <v>95</v>
      </c>
      <c r="B38" s="4">
        <v>46090</v>
      </c>
      <c r="C38" s="1" t="s">
        <v>19</v>
      </c>
      <c r="D38" s="1" t="s">
        <v>54</v>
      </c>
      <c r="E38" s="5">
        <v>16000</v>
      </c>
      <c r="F38" s="1">
        <v>0</v>
      </c>
      <c r="G38" s="4">
        <v>46090</v>
      </c>
      <c r="H38" s="4">
        <v>46094</v>
      </c>
      <c r="I38" s="4">
        <v>46097</v>
      </c>
      <c r="J38" s="4"/>
      <c r="K38" s="1" t="s">
        <v>55</v>
      </c>
      <c r="L38" s="7">
        <f t="shared" si="0"/>
        <v>1</v>
      </c>
      <c r="M38" s="7">
        <f t="shared" si="1"/>
        <v>7</v>
      </c>
      <c r="N38" s="7">
        <f t="shared" si="2"/>
        <v>0</v>
      </c>
      <c r="O38" s="7">
        <f t="shared" si="3"/>
        <v>4</v>
      </c>
      <c r="P38" s="7">
        <f t="shared" si="4"/>
        <v>3</v>
      </c>
      <c r="Q38" s="7" t="str">
        <f>IF(K38="Open",Summary!$B$6-B38,"")</f>
        <v/>
      </c>
      <c r="R38" s="7">
        <f>IF(L38=1,IF(M38&lt;=Summary!$B$5,1,0),"")</f>
        <v>1</v>
      </c>
      <c r="S38" s="1" t="str">
        <f t="shared" si="5"/>
        <v>2026-03</v>
      </c>
    </row>
    <row r="39" spans="1:19" ht="23" customHeight="1">
      <c r="A39" s="1" t="s">
        <v>96</v>
      </c>
      <c r="B39" s="4">
        <v>46112</v>
      </c>
      <c r="C39" s="1" t="s">
        <v>19</v>
      </c>
      <c r="D39" s="1" t="s">
        <v>54</v>
      </c>
      <c r="E39" s="5">
        <v>23000</v>
      </c>
      <c r="F39" s="1">
        <v>0</v>
      </c>
      <c r="G39" s="4">
        <v>46112</v>
      </c>
      <c r="H39" s="4"/>
      <c r="I39" s="4"/>
      <c r="J39" s="4"/>
      <c r="K39" s="1" t="s">
        <v>69</v>
      </c>
      <c r="L39" s="7">
        <f t="shared" si="0"/>
        <v>0</v>
      </c>
      <c r="M39" s="7" t="str">
        <f t="shared" si="1"/>
        <v/>
      </c>
      <c r="N39" s="7" t="str">
        <f t="shared" si="2"/>
        <v/>
      </c>
      <c r="O39" s="7" t="str">
        <f t="shared" si="3"/>
        <v/>
      </c>
      <c r="P39" s="7" t="str">
        <f t="shared" si="4"/>
        <v/>
      </c>
      <c r="Q39" s="7">
        <f>IF(K39="Open",Summary!$B$6-B39,"")</f>
        <v>0</v>
      </c>
      <c r="R39" s="7" t="str">
        <f>IF(L39=1,IF(M39&lt;=Summary!$B$5,1,0),"")</f>
        <v/>
      </c>
      <c r="S39" s="1" t="str">
        <f t="shared" si="5"/>
        <v>2026-03</v>
      </c>
    </row>
    <row r="40" spans="1:19" ht="23" customHeight="1">
      <c r="A40" s="1" t="s">
        <v>97</v>
      </c>
      <c r="B40" s="4">
        <v>46093</v>
      </c>
      <c r="C40" s="1" t="s">
        <v>19</v>
      </c>
      <c r="D40" s="1" t="s">
        <v>54</v>
      </c>
      <c r="E40" s="5">
        <v>28000</v>
      </c>
      <c r="F40" s="1">
        <v>0</v>
      </c>
      <c r="G40" s="4">
        <v>46094</v>
      </c>
      <c r="H40" s="4">
        <v>46097</v>
      </c>
      <c r="I40" s="4">
        <v>46098</v>
      </c>
      <c r="J40" s="4"/>
      <c r="K40" s="1" t="s">
        <v>63</v>
      </c>
      <c r="L40" s="7">
        <f t="shared" si="0"/>
        <v>1</v>
      </c>
      <c r="M40" s="7">
        <f t="shared" si="1"/>
        <v>5</v>
      </c>
      <c r="N40" s="7">
        <f t="shared" si="2"/>
        <v>1</v>
      </c>
      <c r="O40" s="7">
        <f t="shared" si="3"/>
        <v>3</v>
      </c>
      <c r="P40" s="7">
        <f t="shared" si="4"/>
        <v>1</v>
      </c>
      <c r="Q40" s="7" t="str">
        <f>IF(K40="Open",Summary!$B$6-B40,"")</f>
        <v/>
      </c>
      <c r="R40" s="7">
        <f>IF(L40=1,IF(M40&lt;=Summary!$B$5,1,0),"")</f>
        <v>1</v>
      </c>
      <c r="S40" s="1" t="str">
        <f t="shared" si="5"/>
        <v>2026-03</v>
      </c>
    </row>
    <row r="41" spans="1:19" ht="23" customHeight="1">
      <c r="A41" s="1" t="s">
        <v>98</v>
      </c>
      <c r="B41" s="4">
        <v>46043</v>
      </c>
      <c r="C41" s="1" t="s">
        <v>19</v>
      </c>
      <c r="D41" s="1" t="s">
        <v>54</v>
      </c>
      <c r="E41" s="5">
        <v>14000</v>
      </c>
      <c r="F41" s="1">
        <v>1</v>
      </c>
      <c r="G41" s="4">
        <v>46051</v>
      </c>
      <c r="H41" s="4">
        <v>46054</v>
      </c>
      <c r="I41" s="4">
        <v>46055</v>
      </c>
      <c r="J41" s="4"/>
      <c r="K41" s="1" t="s">
        <v>55</v>
      </c>
      <c r="L41" s="7">
        <f t="shared" si="0"/>
        <v>1</v>
      </c>
      <c r="M41" s="7">
        <f t="shared" si="1"/>
        <v>12</v>
      </c>
      <c r="N41" s="7">
        <f t="shared" si="2"/>
        <v>8</v>
      </c>
      <c r="O41" s="7">
        <f t="shared" si="3"/>
        <v>3</v>
      </c>
      <c r="P41" s="7">
        <f t="shared" si="4"/>
        <v>1</v>
      </c>
      <c r="Q41" s="7" t="str">
        <f>IF(K41="Open",Summary!$B$6-B41,"")</f>
        <v/>
      </c>
      <c r="R41" s="7">
        <f>IF(L41=1,IF(M41&lt;=Summary!$B$5,1,0),"")</f>
        <v>0</v>
      </c>
      <c r="S41" s="1" t="str">
        <f t="shared" si="5"/>
        <v>2026-01</v>
      </c>
    </row>
    <row r="42" spans="1:19" ht="23" customHeight="1">
      <c r="A42" s="1" t="s">
        <v>99</v>
      </c>
      <c r="B42" s="4">
        <v>46030</v>
      </c>
      <c r="C42" s="1" t="s">
        <v>18</v>
      </c>
      <c r="D42" s="1" t="s">
        <v>71</v>
      </c>
      <c r="E42" s="5">
        <v>35000</v>
      </c>
      <c r="F42" s="1">
        <v>1</v>
      </c>
      <c r="G42" s="4"/>
      <c r="H42" s="4"/>
      <c r="I42" s="4"/>
      <c r="J42" s="4">
        <v>46032</v>
      </c>
      <c r="K42" s="1" t="s">
        <v>86</v>
      </c>
      <c r="L42" s="7">
        <f t="shared" si="0"/>
        <v>0</v>
      </c>
      <c r="M42" s="7" t="str">
        <f t="shared" si="1"/>
        <v/>
      </c>
      <c r="N42" s="7" t="str">
        <f t="shared" si="2"/>
        <v/>
      </c>
      <c r="O42" s="7" t="str">
        <f t="shared" si="3"/>
        <v/>
      </c>
      <c r="P42" s="7" t="str">
        <f t="shared" si="4"/>
        <v/>
      </c>
      <c r="Q42" s="7" t="str">
        <f>IF(K42="Open",Summary!$B$6-B42,"")</f>
        <v/>
      </c>
      <c r="R42" s="7" t="str">
        <f>IF(L42=1,IF(M42&lt;=Summary!$B$5,1,0),"")</f>
        <v/>
      </c>
      <c r="S42" s="1" t="str">
        <f t="shared" si="5"/>
        <v>2026-01</v>
      </c>
    </row>
    <row r="43" spans="1:19" ht="23" customHeight="1">
      <c r="A43" s="1" t="s">
        <v>100</v>
      </c>
      <c r="B43" s="4">
        <v>46038</v>
      </c>
      <c r="C43" s="1" t="s">
        <v>18</v>
      </c>
      <c r="D43" s="1" t="s">
        <v>62</v>
      </c>
      <c r="E43" s="5">
        <v>27000</v>
      </c>
      <c r="F43" s="1">
        <v>0</v>
      </c>
      <c r="G43" s="4">
        <v>46040</v>
      </c>
      <c r="H43" s="4">
        <v>46045</v>
      </c>
      <c r="I43" s="4">
        <v>46047</v>
      </c>
      <c r="J43" s="4"/>
      <c r="K43" s="1" t="s">
        <v>55</v>
      </c>
      <c r="L43" s="7">
        <f t="shared" si="0"/>
        <v>1</v>
      </c>
      <c r="M43" s="7">
        <f t="shared" si="1"/>
        <v>9</v>
      </c>
      <c r="N43" s="7">
        <f t="shared" si="2"/>
        <v>2</v>
      </c>
      <c r="O43" s="7">
        <f t="shared" si="3"/>
        <v>5</v>
      </c>
      <c r="P43" s="7">
        <f t="shared" si="4"/>
        <v>2</v>
      </c>
      <c r="Q43" s="7" t="str">
        <f>IF(K43="Open",Summary!$B$6-B43,"")</f>
        <v/>
      </c>
      <c r="R43" s="7">
        <f>IF(L43=1,IF(M43&lt;=Summary!$B$5,1,0),"")</f>
        <v>0</v>
      </c>
      <c r="S43" s="1" t="str">
        <f t="shared" si="5"/>
        <v>2026-01</v>
      </c>
    </row>
    <row r="44" spans="1:19" ht="23" customHeight="1">
      <c r="A44" s="1" t="s">
        <v>101</v>
      </c>
      <c r="B44" s="4">
        <v>46054</v>
      </c>
      <c r="C44" s="1" t="s">
        <v>18</v>
      </c>
      <c r="D44" s="1" t="s">
        <v>62</v>
      </c>
      <c r="E44" s="5">
        <v>31000</v>
      </c>
      <c r="F44" s="1">
        <v>0</v>
      </c>
      <c r="G44" s="4">
        <v>46054</v>
      </c>
      <c r="H44" s="4">
        <v>46060</v>
      </c>
      <c r="I44" s="4">
        <v>46062</v>
      </c>
      <c r="J44" s="4"/>
      <c r="K44" s="1" t="s">
        <v>63</v>
      </c>
      <c r="L44" s="7">
        <f t="shared" si="0"/>
        <v>1</v>
      </c>
      <c r="M44" s="7">
        <f t="shared" si="1"/>
        <v>8</v>
      </c>
      <c r="N44" s="7">
        <f t="shared" si="2"/>
        <v>0</v>
      </c>
      <c r="O44" s="7">
        <f t="shared" si="3"/>
        <v>6</v>
      </c>
      <c r="P44" s="7">
        <f t="shared" si="4"/>
        <v>2</v>
      </c>
      <c r="Q44" s="7" t="str">
        <f>IF(K44="Open",Summary!$B$6-B44,"")</f>
        <v/>
      </c>
      <c r="R44" s="7">
        <f>IF(L44=1,IF(M44&lt;=Summary!$B$5,1,0),"")</f>
        <v>0</v>
      </c>
      <c r="S44" s="1" t="str">
        <f t="shared" si="5"/>
        <v>2026-02</v>
      </c>
    </row>
    <row r="45" spans="1:19" ht="23" customHeight="1">
      <c r="A45" s="1" t="s">
        <v>102</v>
      </c>
      <c r="B45" s="4">
        <v>46039</v>
      </c>
      <c r="C45" s="1" t="s">
        <v>19</v>
      </c>
      <c r="D45" s="1" t="s">
        <v>54</v>
      </c>
      <c r="E45" s="5">
        <v>33000</v>
      </c>
      <c r="F45" s="1">
        <v>0</v>
      </c>
      <c r="G45" s="4">
        <v>46040</v>
      </c>
      <c r="H45" s="4">
        <v>46044</v>
      </c>
      <c r="I45" s="4">
        <v>46047</v>
      </c>
      <c r="J45" s="4"/>
      <c r="K45" s="1" t="s">
        <v>63</v>
      </c>
      <c r="L45" s="7">
        <f t="shared" si="0"/>
        <v>1</v>
      </c>
      <c r="M45" s="7">
        <f t="shared" si="1"/>
        <v>8</v>
      </c>
      <c r="N45" s="7">
        <f t="shared" si="2"/>
        <v>1</v>
      </c>
      <c r="O45" s="7">
        <f t="shared" si="3"/>
        <v>4</v>
      </c>
      <c r="P45" s="7">
        <f t="shared" si="4"/>
        <v>3</v>
      </c>
      <c r="Q45" s="7" t="str">
        <f>IF(K45="Open",Summary!$B$6-B45,"")</f>
        <v/>
      </c>
      <c r="R45" s="7">
        <f>IF(L45=1,IF(M45&lt;=Summary!$B$5,1,0),"")</f>
        <v>0</v>
      </c>
      <c r="S45" s="1" t="str">
        <f t="shared" si="5"/>
        <v>2026-01</v>
      </c>
    </row>
    <row r="46" spans="1:19" ht="23" customHeight="1">
      <c r="A46" s="1" t="s">
        <v>103</v>
      </c>
      <c r="B46" s="4">
        <v>46061</v>
      </c>
      <c r="C46" s="1" t="s">
        <v>18</v>
      </c>
      <c r="D46" s="1" t="s">
        <v>59</v>
      </c>
      <c r="E46" s="5">
        <v>45000</v>
      </c>
      <c r="F46" s="1">
        <v>1</v>
      </c>
      <c r="G46" s="4">
        <v>46068</v>
      </c>
      <c r="H46" s="4">
        <v>46070</v>
      </c>
      <c r="I46" s="4">
        <v>46073</v>
      </c>
      <c r="J46" s="4"/>
      <c r="K46" s="1" t="s">
        <v>55</v>
      </c>
      <c r="L46" s="7">
        <f t="shared" si="0"/>
        <v>1</v>
      </c>
      <c r="M46" s="7">
        <f t="shared" si="1"/>
        <v>12</v>
      </c>
      <c r="N46" s="7">
        <f t="shared" si="2"/>
        <v>7</v>
      </c>
      <c r="O46" s="7">
        <f t="shared" si="3"/>
        <v>2</v>
      </c>
      <c r="P46" s="7">
        <f t="shared" si="4"/>
        <v>3</v>
      </c>
      <c r="Q46" s="7" t="str">
        <f>IF(K46="Open",Summary!$B$6-B46,"")</f>
        <v/>
      </c>
      <c r="R46" s="7">
        <f>IF(L46=1,IF(M46&lt;=Summary!$B$5,1,0),"")</f>
        <v>0</v>
      </c>
      <c r="S46" s="1" t="str">
        <f t="shared" si="5"/>
        <v>2026-02</v>
      </c>
    </row>
    <row r="47" spans="1:19" ht="23" customHeight="1">
      <c r="A47" s="1" t="s">
        <v>104</v>
      </c>
      <c r="B47" s="4">
        <v>46055</v>
      </c>
      <c r="C47" s="1" t="s">
        <v>19</v>
      </c>
      <c r="D47" s="1" t="s">
        <v>54</v>
      </c>
      <c r="E47" s="5">
        <v>31000</v>
      </c>
      <c r="F47" s="1">
        <v>0</v>
      </c>
      <c r="G47" s="4">
        <v>46057</v>
      </c>
      <c r="H47" s="4">
        <v>46063</v>
      </c>
      <c r="I47" s="4">
        <v>46064</v>
      </c>
      <c r="J47" s="4"/>
      <c r="K47" s="1" t="s">
        <v>55</v>
      </c>
      <c r="L47" s="7">
        <f t="shared" si="0"/>
        <v>1</v>
      </c>
      <c r="M47" s="7">
        <f t="shared" si="1"/>
        <v>9</v>
      </c>
      <c r="N47" s="7">
        <f t="shared" si="2"/>
        <v>2</v>
      </c>
      <c r="O47" s="7">
        <f t="shared" si="3"/>
        <v>6</v>
      </c>
      <c r="P47" s="7">
        <f t="shared" si="4"/>
        <v>1</v>
      </c>
      <c r="Q47" s="7" t="str">
        <f>IF(K47="Open",Summary!$B$6-B47,"")</f>
        <v/>
      </c>
      <c r="R47" s="7">
        <f>IF(L47=1,IF(M47&lt;=Summary!$B$5,1,0),"")</f>
        <v>0</v>
      </c>
      <c r="S47" s="1" t="str">
        <f t="shared" si="5"/>
        <v>2026-02</v>
      </c>
    </row>
    <row r="48" spans="1:19" ht="23" customHeight="1">
      <c r="A48" s="1" t="s">
        <v>105</v>
      </c>
      <c r="B48" s="4">
        <v>46108</v>
      </c>
      <c r="C48" s="1" t="s">
        <v>18</v>
      </c>
      <c r="D48" s="1" t="s">
        <v>62</v>
      </c>
      <c r="E48" s="5">
        <v>29000</v>
      </c>
      <c r="F48" s="1">
        <v>0</v>
      </c>
      <c r="G48" s="4">
        <v>46108</v>
      </c>
      <c r="H48" s="4">
        <v>46111</v>
      </c>
      <c r="I48" s="4">
        <v>46112</v>
      </c>
      <c r="J48" s="4"/>
      <c r="K48" s="1" t="s">
        <v>55</v>
      </c>
      <c r="L48" s="7">
        <f t="shared" si="0"/>
        <v>1</v>
      </c>
      <c r="M48" s="7">
        <f t="shared" si="1"/>
        <v>4</v>
      </c>
      <c r="N48" s="7">
        <f t="shared" si="2"/>
        <v>0</v>
      </c>
      <c r="O48" s="7">
        <f t="shared" si="3"/>
        <v>3</v>
      </c>
      <c r="P48" s="7">
        <f t="shared" si="4"/>
        <v>1</v>
      </c>
      <c r="Q48" s="7" t="str">
        <f>IF(K48="Open",Summary!$B$6-B48,"")</f>
        <v/>
      </c>
      <c r="R48" s="7">
        <f>IF(L48=1,IF(M48&lt;=Summary!$B$5,1,0),"")</f>
        <v>1</v>
      </c>
      <c r="S48" s="1" t="str">
        <f t="shared" si="5"/>
        <v>2026-03</v>
      </c>
    </row>
    <row r="49" spans="1:19" ht="23" customHeight="1">
      <c r="A49" s="1" t="s">
        <v>106</v>
      </c>
      <c r="B49" s="4">
        <v>46056</v>
      </c>
      <c r="C49" s="1" t="s">
        <v>18</v>
      </c>
      <c r="D49" s="1" t="s">
        <v>59</v>
      </c>
      <c r="E49" s="5">
        <v>19000</v>
      </c>
      <c r="F49" s="1">
        <v>0</v>
      </c>
      <c r="G49" s="4">
        <v>46057</v>
      </c>
      <c r="H49" s="4">
        <v>46062</v>
      </c>
      <c r="I49" s="4">
        <v>46064</v>
      </c>
      <c r="J49" s="4"/>
      <c r="K49" s="1" t="s">
        <v>55</v>
      </c>
      <c r="L49" s="7">
        <f t="shared" si="0"/>
        <v>1</v>
      </c>
      <c r="M49" s="7">
        <f t="shared" si="1"/>
        <v>8</v>
      </c>
      <c r="N49" s="7">
        <f t="shared" si="2"/>
        <v>1</v>
      </c>
      <c r="O49" s="7">
        <f t="shared" si="3"/>
        <v>5</v>
      </c>
      <c r="P49" s="7">
        <f t="shared" si="4"/>
        <v>2</v>
      </c>
      <c r="Q49" s="7" t="str">
        <f>IF(K49="Open",Summary!$B$6-B49,"")</f>
        <v/>
      </c>
      <c r="R49" s="7">
        <f>IF(L49=1,IF(M49&lt;=Summary!$B$5,1,0),"")</f>
        <v>0</v>
      </c>
      <c r="S49" s="1" t="str">
        <f t="shared" si="5"/>
        <v>2026-02</v>
      </c>
    </row>
    <row r="50" spans="1:19" ht="23" customHeight="1">
      <c r="A50" s="1" t="s">
        <v>107</v>
      </c>
      <c r="B50" s="4">
        <v>46070</v>
      </c>
      <c r="C50" s="1" t="s">
        <v>19</v>
      </c>
      <c r="D50" s="1" t="s">
        <v>54</v>
      </c>
      <c r="E50" s="5">
        <v>26000</v>
      </c>
      <c r="F50" s="1">
        <v>0</v>
      </c>
      <c r="G50" s="4">
        <v>46072</v>
      </c>
      <c r="H50" s="4">
        <v>46076</v>
      </c>
      <c r="I50" s="4">
        <v>46077</v>
      </c>
      <c r="J50" s="4"/>
      <c r="K50" s="1" t="s">
        <v>63</v>
      </c>
      <c r="L50" s="7">
        <f t="shared" si="0"/>
        <v>1</v>
      </c>
      <c r="M50" s="7">
        <f t="shared" si="1"/>
        <v>7</v>
      </c>
      <c r="N50" s="7">
        <f t="shared" si="2"/>
        <v>2</v>
      </c>
      <c r="O50" s="7">
        <f t="shared" si="3"/>
        <v>4</v>
      </c>
      <c r="P50" s="7">
        <f t="shared" si="4"/>
        <v>1</v>
      </c>
      <c r="Q50" s="7" t="str">
        <f>IF(K50="Open",Summary!$B$6-B50,"")</f>
        <v/>
      </c>
      <c r="R50" s="7">
        <f>IF(L50=1,IF(M50&lt;=Summary!$B$5,1,0),"")</f>
        <v>1</v>
      </c>
      <c r="S50" s="1" t="str">
        <f t="shared" si="5"/>
        <v>2026-02</v>
      </c>
    </row>
    <row r="51" spans="1:19" ht="23" customHeight="1">
      <c r="A51" s="1" t="s">
        <v>108</v>
      </c>
      <c r="B51" s="4">
        <v>46053</v>
      </c>
      <c r="C51" s="1" t="s">
        <v>18</v>
      </c>
      <c r="D51" s="1" t="s">
        <v>65</v>
      </c>
      <c r="E51" s="5">
        <v>34000</v>
      </c>
      <c r="F51" s="1">
        <v>0</v>
      </c>
      <c r="G51" s="4">
        <v>46054</v>
      </c>
      <c r="H51" s="4">
        <v>46055</v>
      </c>
      <c r="I51" s="4">
        <v>46058</v>
      </c>
      <c r="J51" s="4"/>
      <c r="K51" s="1" t="s">
        <v>55</v>
      </c>
      <c r="L51" s="7">
        <f t="shared" si="0"/>
        <v>1</v>
      </c>
      <c r="M51" s="7">
        <f t="shared" si="1"/>
        <v>5</v>
      </c>
      <c r="N51" s="7">
        <f t="shared" si="2"/>
        <v>1</v>
      </c>
      <c r="O51" s="7">
        <f t="shared" si="3"/>
        <v>1</v>
      </c>
      <c r="P51" s="7">
        <f t="shared" si="4"/>
        <v>3</v>
      </c>
      <c r="Q51" s="7" t="str">
        <f>IF(K51="Open",Summary!$B$6-B51,"")</f>
        <v/>
      </c>
      <c r="R51" s="7">
        <f>IF(L51=1,IF(M51&lt;=Summary!$B$5,1,0),"")</f>
        <v>1</v>
      </c>
      <c r="S51" s="1" t="str">
        <f t="shared" si="5"/>
        <v>2026-01</v>
      </c>
    </row>
    <row r="52" spans="1:19" ht="23" customHeight="1">
      <c r="A52" s="1" t="s">
        <v>109</v>
      </c>
      <c r="B52" s="4">
        <v>46111</v>
      </c>
      <c r="C52" s="1" t="s">
        <v>19</v>
      </c>
      <c r="D52" s="1" t="s">
        <v>54</v>
      </c>
      <c r="E52" s="5">
        <v>17000</v>
      </c>
      <c r="F52" s="1">
        <v>0</v>
      </c>
      <c r="G52" s="4">
        <v>46112</v>
      </c>
      <c r="H52" s="4"/>
      <c r="I52" s="4"/>
      <c r="J52" s="4"/>
      <c r="K52" s="1" t="s">
        <v>69</v>
      </c>
      <c r="L52" s="7">
        <f t="shared" si="0"/>
        <v>0</v>
      </c>
      <c r="M52" s="7" t="str">
        <f t="shared" si="1"/>
        <v/>
      </c>
      <c r="N52" s="7" t="str">
        <f t="shared" si="2"/>
        <v/>
      </c>
      <c r="O52" s="7" t="str">
        <f t="shared" si="3"/>
        <v/>
      </c>
      <c r="P52" s="7" t="str">
        <f t="shared" si="4"/>
        <v/>
      </c>
      <c r="Q52" s="7">
        <f>IF(K52="Open",Summary!$B$6-B52,"")</f>
        <v>1</v>
      </c>
      <c r="R52" s="7" t="str">
        <f>IF(L52=1,IF(M52&lt;=Summary!$B$5,1,0),"")</f>
        <v/>
      </c>
      <c r="S52" s="1" t="str">
        <f t="shared" si="5"/>
        <v>2026-03</v>
      </c>
    </row>
    <row r="53" spans="1:19" ht="23" customHeight="1">
      <c r="A53" s="1" t="s">
        <v>110</v>
      </c>
      <c r="B53" s="4">
        <v>46068</v>
      </c>
      <c r="C53" s="1" t="s">
        <v>19</v>
      </c>
      <c r="D53" s="1" t="s">
        <v>54</v>
      </c>
      <c r="E53" s="5">
        <v>5000</v>
      </c>
      <c r="F53" s="1">
        <v>0</v>
      </c>
      <c r="G53" s="4">
        <v>46070</v>
      </c>
      <c r="H53" s="4">
        <v>46071</v>
      </c>
      <c r="I53" s="4">
        <v>46073</v>
      </c>
      <c r="J53" s="4"/>
      <c r="K53" s="1" t="s">
        <v>63</v>
      </c>
      <c r="L53" s="7">
        <f t="shared" si="0"/>
        <v>1</v>
      </c>
      <c r="M53" s="7">
        <f t="shared" si="1"/>
        <v>5</v>
      </c>
      <c r="N53" s="7">
        <f t="shared" si="2"/>
        <v>2</v>
      </c>
      <c r="O53" s="7">
        <f t="shared" si="3"/>
        <v>1</v>
      </c>
      <c r="P53" s="7">
        <f t="shared" si="4"/>
        <v>2</v>
      </c>
      <c r="Q53" s="7" t="str">
        <f>IF(K53="Open",Summary!$B$6-B53,"")</f>
        <v/>
      </c>
      <c r="R53" s="7">
        <f>IF(L53=1,IF(M53&lt;=Summary!$B$5,1,0),"")</f>
        <v>1</v>
      </c>
      <c r="S53" s="1" t="str">
        <f t="shared" si="5"/>
        <v>2026-02</v>
      </c>
    </row>
    <row r="54" spans="1:19" ht="23" customHeight="1">
      <c r="A54" s="1" t="s">
        <v>111</v>
      </c>
      <c r="B54" s="4">
        <v>46025</v>
      </c>
      <c r="C54" s="1" t="s">
        <v>19</v>
      </c>
      <c r="D54" s="1" t="s">
        <v>54</v>
      </c>
      <c r="E54" s="5">
        <v>40000</v>
      </c>
      <c r="F54" s="1">
        <v>0</v>
      </c>
      <c r="G54" s="4">
        <v>46025</v>
      </c>
      <c r="H54" s="4">
        <v>46027</v>
      </c>
      <c r="I54" s="4">
        <v>46028</v>
      </c>
      <c r="J54" s="4"/>
      <c r="K54" s="1" t="s">
        <v>55</v>
      </c>
      <c r="L54" s="7">
        <f t="shared" si="0"/>
        <v>1</v>
      </c>
      <c r="M54" s="7">
        <f t="shared" si="1"/>
        <v>3</v>
      </c>
      <c r="N54" s="7">
        <f t="shared" si="2"/>
        <v>0</v>
      </c>
      <c r="O54" s="7">
        <f t="shared" si="3"/>
        <v>2</v>
      </c>
      <c r="P54" s="7">
        <f t="shared" si="4"/>
        <v>1</v>
      </c>
      <c r="Q54" s="7" t="str">
        <f>IF(K54="Open",Summary!$B$6-B54,"")</f>
        <v/>
      </c>
      <c r="R54" s="7">
        <f>IF(L54=1,IF(M54&lt;=Summary!$B$5,1,0),"")</f>
        <v>1</v>
      </c>
      <c r="S54" s="1" t="str">
        <f t="shared" si="5"/>
        <v>2026-01</v>
      </c>
    </row>
    <row r="55" spans="1:19" ht="23" customHeight="1">
      <c r="A55" s="1" t="s">
        <v>112</v>
      </c>
      <c r="B55" s="4">
        <v>46044</v>
      </c>
      <c r="C55" s="1" t="s">
        <v>19</v>
      </c>
      <c r="D55" s="1" t="s">
        <v>54</v>
      </c>
      <c r="E55" s="5">
        <v>18000</v>
      </c>
      <c r="F55" s="1">
        <v>0</v>
      </c>
      <c r="G55" s="4">
        <v>46045</v>
      </c>
      <c r="H55" s="4">
        <v>46051</v>
      </c>
      <c r="I55" s="4">
        <v>46052</v>
      </c>
      <c r="J55" s="4"/>
      <c r="K55" s="1" t="s">
        <v>55</v>
      </c>
      <c r="L55" s="7">
        <f t="shared" si="0"/>
        <v>1</v>
      </c>
      <c r="M55" s="7">
        <f t="shared" si="1"/>
        <v>8</v>
      </c>
      <c r="N55" s="7">
        <f t="shared" si="2"/>
        <v>1</v>
      </c>
      <c r="O55" s="7">
        <f t="shared" si="3"/>
        <v>6</v>
      </c>
      <c r="P55" s="7">
        <f t="shared" si="4"/>
        <v>1</v>
      </c>
      <c r="Q55" s="7" t="str">
        <f>IF(K55="Open",Summary!$B$6-B55,"")</f>
        <v/>
      </c>
      <c r="R55" s="7">
        <f>IF(L55=1,IF(M55&lt;=Summary!$B$5,1,0),"")</f>
        <v>0</v>
      </c>
      <c r="S55" s="1" t="str">
        <f t="shared" si="5"/>
        <v>2026-01</v>
      </c>
    </row>
    <row r="56" spans="1:19" ht="23" customHeight="1">
      <c r="A56" s="1" t="s">
        <v>113</v>
      </c>
      <c r="B56" s="4">
        <v>46054</v>
      </c>
      <c r="C56" s="1" t="s">
        <v>19</v>
      </c>
      <c r="D56" s="1" t="s">
        <v>54</v>
      </c>
      <c r="E56" s="5">
        <v>22000</v>
      </c>
      <c r="F56" s="1">
        <v>0</v>
      </c>
      <c r="G56" s="4">
        <v>46055</v>
      </c>
      <c r="H56" s="4">
        <v>46058</v>
      </c>
      <c r="I56" s="4">
        <v>46059</v>
      </c>
      <c r="J56" s="4"/>
      <c r="K56" s="1" t="s">
        <v>63</v>
      </c>
      <c r="L56" s="7">
        <f t="shared" si="0"/>
        <v>1</v>
      </c>
      <c r="M56" s="7">
        <f t="shared" si="1"/>
        <v>5</v>
      </c>
      <c r="N56" s="7">
        <f t="shared" si="2"/>
        <v>1</v>
      </c>
      <c r="O56" s="7">
        <f t="shared" si="3"/>
        <v>3</v>
      </c>
      <c r="P56" s="7">
        <f t="shared" si="4"/>
        <v>1</v>
      </c>
      <c r="Q56" s="7" t="str">
        <f>IF(K56="Open",Summary!$B$6-B56,"")</f>
        <v/>
      </c>
      <c r="R56" s="7">
        <f>IF(L56=1,IF(M56&lt;=Summary!$B$5,1,0),"")</f>
        <v>1</v>
      </c>
      <c r="S56" s="1" t="str">
        <f t="shared" si="5"/>
        <v>2026-02</v>
      </c>
    </row>
    <row r="57" spans="1:19" ht="23" customHeight="1">
      <c r="A57" s="1" t="s">
        <v>114</v>
      </c>
      <c r="B57" s="4">
        <v>46102</v>
      </c>
      <c r="C57" s="1" t="s">
        <v>19</v>
      </c>
      <c r="D57" s="1" t="s">
        <v>54</v>
      </c>
      <c r="E57" s="5">
        <v>27000</v>
      </c>
      <c r="F57" s="1">
        <v>0</v>
      </c>
      <c r="G57" s="4">
        <v>46103</v>
      </c>
      <c r="H57" s="4">
        <v>46106</v>
      </c>
      <c r="I57" s="4">
        <v>46108</v>
      </c>
      <c r="J57" s="4"/>
      <c r="K57" s="1" t="s">
        <v>63</v>
      </c>
      <c r="L57" s="7">
        <f t="shared" si="0"/>
        <v>1</v>
      </c>
      <c r="M57" s="7">
        <f t="shared" si="1"/>
        <v>6</v>
      </c>
      <c r="N57" s="7">
        <f t="shared" si="2"/>
        <v>1</v>
      </c>
      <c r="O57" s="7">
        <f t="shared" si="3"/>
        <v>3</v>
      </c>
      <c r="P57" s="7">
        <f t="shared" si="4"/>
        <v>2</v>
      </c>
      <c r="Q57" s="7" t="str">
        <f>IF(K57="Open",Summary!$B$6-B57,"")</f>
        <v/>
      </c>
      <c r="R57" s="7">
        <f>IF(L57=1,IF(M57&lt;=Summary!$B$5,1,0),"")</f>
        <v>1</v>
      </c>
      <c r="S57" s="1" t="str">
        <f t="shared" si="5"/>
        <v>2026-03</v>
      </c>
    </row>
    <row r="58" spans="1:19" ht="23" customHeight="1">
      <c r="A58" s="1" t="s">
        <v>115</v>
      </c>
      <c r="B58" s="4">
        <v>46107</v>
      </c>
      <c r="C58" s="1" t="s">
        <v>19</v>
      </c>
      <c r="D58" s="1" t="s">
        <v>54</v>
      </c>
      <c r="E58" s="5">
        <v>43000</v>
      </c>
      <c r="F58" s="1">
        <v>1</v>
      </c>
      <c r="G58" s="4">
        <v>46110</v>
      </c>
      <c r="H58" s="4">
        <v>46111</v>
      </c>
      <c r="I58" s="4"/>
      <c r="J58" s="4"/>
      <c r="K58" s="1" t="s">
        <v>69</v>
      </c>
      <c r="L58" s="7">
        <f t="shared" si="0"/>
        <v>0</v>
      </c>
      <c r="M58" s="7" t="str">
        <f t="shared" si="1"/>
        <v/>
      </c>
      <c r="N58" s="7" t="str">
        <f t="shared" si="2"/>
        <v/>
      </c>
      <c r="O58" s="7" t="str">
        <f t="shared" si="3"/>
        <v/>
      </c>
      <c r="P58" s="7" t="str">
        <f t="shared" si="4"/>
        <v/>
      </c>
      <c r="Q58" s="7">
        <f>IF(K58="Open",Summary!$B$6-B58,"")</f>
        <v>5</v>
      </c>
      <c r="R58" s="7" t="str">
        <f>IF(L58=1,IF(M58&lt;=Summary!$B$5,1,0),"")</f>
        <v/>
      </c>
      <c r="S58" s="1" t="str">
        <f t="shared" si="5"/>
        <v>2026-03</v>
      </c>
    </row>
    <row r="59" spans="1:19" ht="23" customHeight="1">
      <c r="A59" s="1" t="s">
        <v>116</v>
      </c>
      <c r="B59" s="4">
        <v>46061</v>
      </c>
      <c r="C59" s="1" t="s">
        <v>19</v>
      </c>
      <c r="D59" s="1" t="s">
        <v>54</v>
      </c>
      <c r="E59" s="5">
        <v>19000</v>
      </c>
      <c r="F59" s="1">
        <v>1</v>
      </c>
      <c r="G59" s="4">
        <v>46066</v>
      </c>
      <c r="H59" s="4">
        <v>46068</v>
      </c>
      <c r="I59" s="4">
        <v>46071</v>
      </c>
      <c r="J59" s="4"/>
      <c r="K59" s="1" t="s">
        <v>55</v>
      </c>
      <c r="L59" s="7">
        <f t="shared" si="0"/>
        <v>1</v>
      </c>
      <c r="M59" s="7">
        <f t="shared" si="1"/>
        <v>10</v>
      </c>
      <c r="N59" s="7">
        <f t="shared" si="2"/>
        <v>5</v>
      </c>
      <c r="O59" s="7">
        <f t="shared" si="3"/>
        <v>2</v>
      </c>
      <c r="P59" s="7">
        <f t="shared" si="4"/>
        <v>3</v>
      </c>
      <c r="Q59" s="7" t="str">
        <f>IF(K59="Open",Summary!$B$6-B59,"")</f>
        <v/>
      </c>
      <c r="R59" s="7">
        <f>IF(L59=1,IF(M59&lt;=Summary!$B$5,1,0),"")</f>
        <v>0</v>
      </c>
      <c r="S59" s="1" t="str">
        <f t="shared" si="5"/>
        <v>2026-02</v>
      </c>
    </row>
    <row r="60" spans="1:19" ht="23" customHeight="1">
      <c r="A60" s="1" t="s">
        <v>117</v>
      </c>
      <c r="B60" s="4">
        <v>46078</v>
      </c>
      <c r="C60" s="1" t="s">
        <v>18</v>
      </c>
      <c r="D60" s="1" t="s">
        <v>59</v>
      </c>
      <c r="E60" s="5">
        <v>23000</v>
      </c>
      <c r="F60" s="1">
        <v>1</v>
      </c>
      <c r="G60" s="4">
        <v>46083</v>
      </c>
      <c r="H60" s="4">
        <v>46088</v>
      </c>
      <c r="I60" s="4">
        <v>46089</v>
      </c>
      <c r="J60" s="4"/>
      <c r="K60" s="1" t="s">
        <v>55</v>
      </c>
      <c r="L60" s="7">
        <f t="shared" si="0"/>
        <v>1</v>
      </c>
      <c r="M60" s="7">
        <f t="shared" si="1"/>
        <v>11</v>
      </c>
      <c r="N60" s="7">
        <f t="shared" si="2"/>
        <v>5</v>
      </c>
      <c r="O60" s="7">
        <f t="shared" si="3"/>
        <v>5</v>
      </c>
      <c r="P60" s="7">
        <f t="shared" si="4"/>
        <v>1</v>
      </c>
      <c r="Q60" s="7" t="str">
        <f>IF(K60="Open",Summary!$B$6-B60,"")</f>
        <v/>
      </c>
      <c r="R60" s="7">
        <f>IF(L60=1,IF(M60&lt;=Summary!$B$5,1,0),"")</f>
        <v>0</v>
      </c>
      <c r="S60" s="1" t="str">
        <f t="shared" si="5"/>
        <v>2026-02</v>
      </c>
    </row>
    <row r="61" spans="1:19" ht="23" customHeight="1">
      <c r="A61" s="1" t="s">
        <v>118</v>
      </c>
      <c r="B61" s="4">
        <v>46047</v>
      </c>
      <c r="C61" s="1" t="s">
        <v>19</v>
      </c>
      <c r="D61" s="1" t="s">
        <v>54</v>
      </c>
      <c r="E61" s="5">
        <v>49000</v>
      </c>
      <c r="F61" s="1">
        <v>0</v>
      </c>
      <c r="G61" s="4">
        <v>46047</v>
      </c>
      <c r="H61" s="4">
        <v>46053</v>
      </c>
      <c r="I61" s="4">
        <v>46056</v>
      </c>
      <c r="J61" s="4"/>
      <c r="K61" s="1" t="s">
        <v>55</v>
      </c>
      <c r="L61" s="7">
        <f t="shared" si="0"/>
        <v>1</v>
      </c>
      <c r="M61" s="7">
        <f t="shared" si="1"/>
        <v>9</v>
      </c>
      <c r="N61" s="7">
        <f t="shared" si="2"/>
        <v>0</v>
      </c>
      <c r="O61" s="7">
        <f t="shared" si="3"/>
        <v>6</v>
      </c>
      <c r="P61" s="7">
        <f t="shared" si="4"/>
        <v>3</v>
      </c>
      <c r="Q61" s="7" t="str">
        <f>IF(K61="Open",Summary!$B$6-B61,"")</f>
        <v/>
      </c>
      <c r="R61" s="7">
        <f>IF(L61=1,IF(M61&lt;=Summary!$B$5,1,0),"")</f>
        <v>0</v>
      </c>
      <c r="S61" s="1" t="str">
        <f t="shared" si="5"/>
        <v>2026-01</v>
      </c>
    </row>
    <row r="62" spans="1:19" ht="23" customHeight="1">
      <c r="A62" s="1" t="s">
        <v>119</v>
      </c>
      <c r="B62" s="4">
        <v>46061</v>
      </c>
      <c r="C62" s="1" t="s">
        <v>19</v>
      </c>
      <c r="D62" s="1" t="s">
        <v>54</v>
      </c>
      <c r="E62" s="5">
        <v>39000</v>
      </c>
      <c r="F62" s="1">
        <v>1</v>
      </c>
      <c r="G62" s="4">
        <v>46065</v>
      </c>
      <c r="H62" s="4">
        <v>46068</v>
      </c>
      <c r="I62" s="4">
        <v>46069</v>
      </c>
      <c r="J62" s="4"/>
      <c r="K62" s="1" t="s">
        <v>55</v>
      </c>
      <c r="L62" s="7">
        <f t="shared" si="0"/>
        <v>1</v>
      </c>
      <c r="M62" s="7">
        <f t="shared" si="1"/>
        <v>8</v>
      </c>
      <c r="N62" s="7">
        <f t="shared" si="2"/>
        <v>4</v>
      </c>
      <c r="O62" s="7">
        <f t="shared" si="3"/>
        <v>3</v>
      </c>
      <c r="P62" s="7">
        <f t="shared" si="4"/>
        <v>1</v>
      </c>
      <c r="Q62" s="7" t="str">
        <f>IF(K62="Open",Summary!$B$6-B62,"")</f>
        <v/>
      </c>
      <c r="R62" s="7">
        <f>IF(L62=1,IF(M62&lt;=Summary!$B$5,1,0),"")</f>
        <v>0</v>
      </c>
      <c r="S62" s="1" t="str">
        <f t="shared" si="5"/>
        <v>2026-02</v>
      </c>
    </row>
    <row r="63" spans="1:19" ht="23" customHeight="1">
      <c r="A63" s="1" t="s">
        <v>120</v>
      </c>
      <c r="B63" s="4">
        <v>46033</v>
      </c>
      <c r="C63" s="1" t="s">
        <v>18</v>
      </c>
      <c r="D63" s="1" t="s">
        <v>65</v>
      </c>
      <c r="E63" s="5">
        <v>41000</v>
      </c>
      <c r="F63" s="1">
        <v>1</v>
      </c>
      <c r="G63" s="4">
        <v>46038</v>
      </c>
      <c r="H63" s="4">
        <v>46044</v>
      </c>
      <c r="I63" s="4">
        <v>46046</v>
      </c>
      <c r="J63" s="4"/>
      <c r="K63" s="1" t="s">
        <v>63</v>
      </c>
      <c r="L63" s="7">
        <f t="shared" si="0"/>
        <v>1</v>
      </c>
      <c r="M63" s="7">
        <f t="shared" si="1"/>
        <v>13</v>
      </c>
      <c r="N63" s="7">
        <f t="shared" si="2"/>
        <v>5</v>
      </c>
      <c r="O63" s="7">
        <f t="shared" si="3"/>
        <v>6</v>
      </c>
      <c r="P63" s="7">
        <f t="shared" si="4"/>
        <v>2</v>
      </c>
      <c r="Q63" s="7" t="str">
        <f>IF(K63="Open",Summary!$B$6-B63,"")</f>
        <v/>
      </c>
      <c r="R63" s="7">
        <f>IF(L63=1,IF(M63&lt;=Summary!$B$5,1,0),"")</f>
        <v>0</v>
      </c>
      <c r="S63" s="1" t="str">
        <f t="shared" si="5"/>
        <v>2026-01</v>
      </c>
    </row>
    <row r="64" spans="1:19" ht="23" customHeight="1">
      <c r="A64" s="1" t="s">
        <v>121</v>
      </c>
      <c r="B64" s="4">
        <v>46097</v>
      </c>
      <c r="C64" s="1" t="s">
        <v>19</v>
      </c>
      <c r="D64" s="1" t="s">
        <v>54</v>
      </c>
      <c r="E64" s="5">
        <v>46000</v>
      </c>
      <c r="F64" s="1">
        <v>0</v>
      </c>
      <c r="G64" s="4">
        <v>46098</v>
      </c>
      <c r="H64" s="4">
        <v>46103</v>
      </c>
      <c r="I64" s="4">
        <v>46104</v>
      </c>
      <c r="J64" s="4"/>
      <c r="K64" s="1" t="s">
        <v>55</v>
      </c>
      <c r="L64" s="7">
        <f t="shared" si="0"/>
        <v>1</v>
      </c>
      <c r="M64" s="7">
        <f t="shared" si="1"/>
        <v>7</v>
      </c>
      <c r="N64" s="7">
        <f t="shared" si="2"/>
        <v>1</v>
      </c>
      <c r="O64" s="7">
        <f t="shared" si="3"/>
        <v>5</v>
      </c>
      <c r="P64" s="7">
        <f t="shared" si="4"/>
        <v>1</v>
      </c>
      <c r="Q64" s="7" t="str">
        <f>IF(K64="Open",Summary!$B$6-B64,"")</f>
        <v/>
      </c>
      <c r="R64" s="7">
        <f>IF(L64=1,IF(M64&lt;=Summary!$B$5,1,0),"")</f>
        <v>1</v>
      </c>
      <c r="S64" s="1" t="str">
        <f t="shared" si="5"/>
        <v>2026-03</v>
      </c>
    </row>
    <row r="65" spans="1:19" ht="23" customHeight="1">
      <c r="A65" s="1" t="s">
        <v>122</v>
      </c>
      <c r="B65" s="4">
        <v>46039</v>
      </c>
      <c r="C65" s="1" t="s">
        <v>18</v>
      </c>
      <c r="D65" s="1" t="s">
        <v>59</v>
      </c>
      <c r="E65" s="5">
        <v>23000</v>
      </c>
      <c r="F65" s="1">
        <v>0</v>
      </c>
      <c r="G65" s="4">
        <v>46039</v>
      </c>
      <c r="H65" s="4">
        <v>46044</v>
      </c>
      <c r="I65" s="4">
        <v>46045</v>
      </c>
      <c r="J65" s="4"/>
      <c r="K65" s="1" t="s">
        <v>55</v>
      </c>
      <c r="L65" s="7">
        <f t="shared" si="0"/>
        <v>1</v>
      </c>
      <c r="M65" s="7">
        <f t="shared" si="1"/>
        <v>6</v>
      </c>
      <c r="N65" s="7">
        <f t="shared" si="2"/>
        <v>0</v>
      </c>
      <c r="O65" s="7">
        <f t="shared" si="3"/>
        <v>5</v>
      </c>
      <c r="P65" s="7">
        <f t="shared" si="4"/>
        <v>1</v>
      </c>
      <c r="Q65" s="7" t="str">
        <f>IF(K65="Open",Summary!$B$6-B65,"")</f>
        <v/>
      </c>
      <c r="R65" s="7">
        <f>IF(L65=1,IF(M65&lt;=Summary!$B$5,1,0),"")</f>
        <v>1</v>
      </c>
      <c r="S65" s="1" t="str">
        <f t="shared" si="5"/>
        <v>2026-01</v>
      </c>
    </row>
    <row r="66" spans="1:19" ht="23" customHeight="1">
      <c r="A66" s="1" t="s">
        <v>123</v>
      </c>
      <c r="B66" s="4">
        <v>46030</v>
      </c>
      <c r="C66" s="1" t="s">
        <v>18</v>
      </c>
      <c r="D66" s="1" t="s">
        <v>59</v>
      </c>
      <c r="E66" s="5">
        <v>35000</v>
      </c>
      <c r="F66" s="1">
        <v>0</v>
      </c>
      <c r="G66" s="4">
        <v>46031</v>
      </c>
      <c r="H66" s="4">
        <v>46037</v>
      </c>
      <c r="I66" s="4">
        <v>46040</v>
      </c>
      <c r="J66" s="4"/>
      <c r="K66" s="1" t="s">
        <v>63</v>
      </c>
      <c r="L66" s="7">
        <f t="shared" si="0"/>
        <v>1</v>
      </c>
      <c r="M66" s="7">
        <f t="shared" si="1"/>
        <v>10</v>
      </c>
      <c r="N66" s="7">
        <f t="shared" si="2"/>
        <v>1</v>
      </c>
      <c r="O66" s="7">
        <f t="shared" si="3"/>
        <v>6</v>
      </c>
      <c r="P66" s="7">
        <f t="shared" si="4"/>
        <v>3</v>
      </c>
      <c r="Q66" s="7" t="str">
        <f>IF(K66="Open",Summary!$B$6-B66,"")</f>
        <v/>
      </c>
      <c r="R66" s="7">
        <f>IF(L66=1,IF(M66&lt;=Summary!$B$5,1,0),"")</f>
        <v>0</v>
      </c>
      <c r="S66" s="1" t="str">
        <f t="shared" si="5"/>
        <v>2026-01</v>
      </c>
    </row>
    <row r="67" spans="1:19" ht="23" customHeight="1">
      <c r="A67" s="1" t="s">
        <v>124</v>
      </c>
      <c r="B67" s="4">
        <v>46079</v>
      </c>
      <c r="C67" s="1" t="s">
        <v>18</v>
      </c>
      <c r="D67" s="1" t="s">
        <v>59</v>
      </c>
      <c r="E67" s="5">
        <v>11000</v>
      </c>
      <c r="F67" s="1">
        <v>0</v>
      </c>
      <c r="G67" s="4">
        <v>46081</v>
      </c>
      <c r="H67" s="4">
        <v>46087</v>
      </c>
      <c r="I67" s="4">
        <v>46089</v>
      </c>
      <c r="J67" s="4"/>
      <c r="K67" s="1" t="s">
        <v>55</v>
      </c>
      <c r="L67" s="7">
        <f t="shared" si="0"/>
        <v>1</v>
      </c>
      <c r="M67" s="7">
        <f t="shared" si="1"/>
        <v>10</v>
      </c>
      <c r="N67" s="7">
        <f t="shared" si="2"/>
        <v>2</v>
      </c>
      <c r="O67" s="7">
        <f t="shared" si="3"/>
        <v>6</v>
      </c>
      <c r="P67" s="7">
        <f t="shared" si="4"/>
        <v>2</v>
      </c>
      <c r="Q67" s="7" t="str">
        <f>IF(K67="Open",Summary!$B$6-B67,"")</f>
        <v/>
      </c>
      <c r="R67" s="7">
        <f>IF(L67=1,IF(M67&lt;=Summary!$B$5,1,0),"")</f>
        <v>0</v>
      </c>
      <c r="S67" s="1" t="str">
        <f t="shared" si="5"/>
        <v>2026-02</v>
      </c>
    </row>
    <row r="68" spans="1:19" ht="23" customHeight="1">
      <c r="A68" s="1" t="s">
        <v>125</v>
      </c>
      <c r="B68" s="4">
        <v>46027</v>
      </c>
      <c r="C68" s="1" t="s">
        <v>18</v>
      </c>
      <c r="D68" s="1" t="s">
        <v>59</v>
      </c>
      <c r="E68" s="5">
        <v>24000</v>
      </c>
      <c r="F68" s="1">
        <v>0</v>
      </c>
      <c r="G68" s="4">
        <v>46029</v>
      </c>
      <c r="H68" s="4">
        <v>46030</v>
      </c>
      <c r="I68" s="4">
        <v>46032</v>
      </c>
      <c r="J68" s="4"/>
      <c r="K68" s="1" t="s">
        <v>63</v>
      </c>
      <c r="L68" s="7">
        <f t="shared" si="0"/>
        <v>1</v>
      </c>
      <c r="M68" s="7">
        <f t="shared" si="1"/>
        <v>5</v>
      </c>
      <c r="N68" s="7">
        <f t="shared" si="2"/>
        <v>2</v>
      </c>
      <c r="O68" s="7">
        <f t="shared" si="3"/>
        <v>1</v>
      </c>
      <c r="P68" s="7">
        <f t="shared" si="4"/>
        <v>2</v>
      </c>
      <c r="Q68" s="7" t="str">
        <f>IF(K68="Open",Summary!$B$6-B68,"")</f>
        <v/>
      </c>
      <c r="R68" s="7">
        <f>IF(L68=1,IF(M68&lt;=Summary!$B$5,1,0),"")</f>
        <v>1</v>
      </c>
      <c r="S68" s="1" t="str">
        <f t="shared" si="5"/>
        <v>2026-01</v>
      </c>
    </row>
    <row r="69" spans="1:19" ht="23" customHeight="1">
      <c r="A69" s="1" t="s">
        <v>126</v>
      </c>
      <c r="B69" s="4">
        <v>46106</v>
      </c>
      <c r="C69" s="1" t="s">
        <v>19</v>
      </c>
      <c r="D69" s="1" t="s">
        <v>54</v>
      </c>
      <c r="E69" s="5">
        <v>30000</v>
      </c>
      <c r="F69" s="1">
        <v>0</v>
      </c>
      <c r="G69" s="4">
        <v>46108</v>
      </c>
      <c r="H69" s="4">
        <v>46111</v>
      </c>
      <c r="I69" s="4"/>
      <c r="J69" s="4"/>
      <c r="K69" s="1" t="s">
        <v>69</v>
      </c>
      <c r="L69" s="7">
        <f t="shared" ref="L69:L132" si="6">IF(OR(K69="Approved",K69="Declined"),1,0)</f>
        <v>0</v>
      </c>
      <c r="M69" s="7" t="str">
        <f t="shared" ref="M69:M132" si="7">IF(L69=1,I69-B69,"")</f>
        <v/>
      </c>
      <c r="N69" s="7" t="str">
        <f t="shared" ref="N69:N132" si="8">IF(L69=1,G69-B69,"")</f>
        <v/>
      </c>
      <c r="O69" s="7" t="str">
        <f t="shared" ref="O69:O132" si="9">IF(L69=1,H69-G69,"")</f>
        <v/>
      </c>
      <c r="P69" s="7" t="str">
        <f t="shared" ref="P69:P132" si="10">IF(L69=1,I69-H69,"")</f>
        <v/>
      </c>
      <c r="Q69" s="7">
        <f>IF(K69="Open",Summary!$B$6-B69,"")</f>
        <v>6</v>
      </c>
      <c r="R69" s="7" t="str">
        <f>IF(L69=1,IF(M69&lt;=Summary!$B$5,1,0),"")</f>
        <v/>
      </c>
      <c r="S69" s="1" t="str">
        <f t="shared" ref="S69:S132" si="11">TEXT(B69,"yyyy-mm")</f>
        <v>2026-03</v>
      </c>
    </row>
    <row r="70" spans="1:19" ht="23" customHeight="1">
      <c r="A70" s="1" t="s">
        <v>127</v>
      </c>
      <c r="B70" s="4">
        <v>46110</v>
      </c>
      <c r="C70" s="1" t="s">
        <v>19</v>
      </c>
      <c r="D70" s="1" t="s">
        <v>54</v>
      </c>
      <c r="E70" s="5">
        <v>29000</v>
      </c>
      <c r="F70" s="1">
        <v>0</v>
      </c>
      <c r="G70" s="4">
        <v>46112</v>
      </c>
      <c r="H70" s="4"/>
      <c r="I70" s="4"/>
      <c r="J70" s="4"/>
      <c r="K70" s="1" t="s">
        <v>69</v>
      </c>
      <c r="L70" s="7">
        <f t="shared" si="6"/>
        <v>0</v>
      </c>
      <c r="M70" s="7" t="str">
        <f t="shared" si="7"/>
        <v/>
      </c>
      <c r="N70" s="7" t="str">
        <f t="shared" si="8"/>
        <v/>
      </c>
      <c r="O70" s="7" t="str">
        <f t="shared" si="9"/>
        <v/>
      </c>
      <c r="P70" s="7" t="str">
        <f t="shared" si="10"/>
        <v/>
      </c>
      <c r="Q70" s="7">
        <f>IF(K70="Open",Summary!$B$6-B70,"")</f>
        <v>2</v>
      </c>
      <c r="R70" s="7" t="str">
        <f>IF(L70=1,IF(M70&lt;=Summary!$B$5,1,0),"")</f>
        <v/>
      </c>
      <c r="S70" s="1" t="str">
        <f t="shared" si="11"/>
        <v>2026-03</v>
      </c>
    </row>
    <row r="71" spans="1:19" ht="23" customHeight="1">
      <c r="A71" s="1" t="s">
        <v>128</v>
      </c>
      <c r="B71" s="4">
        <v>46108</v>
      </c>
      <c r="C71" s="1" t="s">
        <v>18</v>
      </c>
      <c r="D71" s="1" t="s">
        <v>65</v>
      </c>
      <c r="E71" s="5">
        <v>35000</v>
      </c>
      <c r="F71" s="1">
        <v>1</v>
      </c>
      <c r="G71" s="4"/>
      <c r="H71" s="4"/>
      <c r="I71" s="4"/>
      <c r="J71" s="4"/>
      <c r="K71" s="1" t="s">
        <v>69</v>
      </c>
      <c r="L71" s="7">
        <f t="shared" si="6"/>
        <v>0</v>
      </c>
      <c r="M71" s="7" t="str">
        <f t="shared" si="7"/>
        <v/>
      </c>
      <c r="N71" s="7" t="str">
        <f t="shared" si="8"/>
        <v/>
      </c>
      <c r="O71" s="7" t="str">
        <f t="shared" si="9"/>
        <v/>
      </c>
      <c r="P71" s="7" t="str">
        <f t="shared" si="10"/>
        <v/>
      </c>
      <c r="Q71" s="7">
        <f>IF(K71="Open",Summary!$B$6-B71,"")</f>
        <v>4</v>
      </c>
      <c r="R71" s="7" t="str">
        <f>IF(L71=1,IF(M71&lt;=Summary!$B$5,1,0),"")</f>
        <v/>
      </c>
      <c r="S71" s="1" t="str">
        <f t="shared" si="11"/>
        <v>2026-03</v>
      </c>
    </row>
    <row r="72" spans="1:19" ht="23" customHeight="1">
      <c r="A72" s="1" t="s">
        <v>129</v>
      </c>
      <c r="B72" s="4">
        <v>46032</v>
      </c>
      <c r="C72" s="1" t="s">
        <v>19</v>
      </c>
      <c r="D72" s="1" t="s">
        <v>54</v>
      </c>
      <c r="E72" s="5">
        <v>47000</v>
      </c>
      <c r="F72" s="1">
        <v>0</v>
      </c>
      <c r="G72" s="4">
        <v>46033</v>
      </c>
      <c r="H72" s="4">
        <v>46035</v>
      </c>
      <c r="I72" s="4">
        <v>46038</v>
      </c>
      <c r="J72" s="4"/>
      <c r="K72" s="1" t="s">
        <v>63</v>
      </c>
      <c r="L72" s="7">
        <f t="shared" si="6"/>
        <v>1</v>
      </c>
      <c r="M72" s="7">
        <f t="shared" si="7"/>
        <v>6</v>
      </c>
      <c r="N72" s="7">
        <f t="shared" si="8"/>
        <v>1</v>
      </c>
      <c r="O72" s="7">
        <f t="shared" si="9"/>
        <v>2</v>
      </c>
      <c r="P72" s="7">
        <f t="shared" si="10"/>
        <v>3</v>
      </c>
      <c r="Q72" s="7" t="str">
        <f>IF(K72="Open",Summary!$B$6-B72,"")</f>
        <v/>
      </c>
      <c r="R72" s="7">
        <f>IF(L72=1,IF(M72&lt;=Summary!$B$5,1,0),"")</f>
        <v>1</v>
      </c>
      <c r="S72" s="1" t="str">
        <f t="shared" si="11"/>
        <v>2026-01</v>
      </c>
    </row>
    <row r="73" spans="1:19" ht="23" customHeight="1">
      <c r="A73" s="1" t="s">
        <v>130</v>
      </c>
      <c r="B73" s="4">
        <v>46093</v>
      </c>
      <c r="C73" s="1" t="s">
        <v>19</v>
      </c>
      <c r="D73" s="1" t="s">
        <v>54</v>
      </c>
      <c r="E73" s="5">
        <v>20000</v>
      </c>
      <c r="F73" s="1">
        <v>0</v>
      </c>
      <c r="G73" s="4">
        <v>46093</v>
      </c>
      <c r="H73" s="4">
        <v>46099</v>
      </c>
      <c r="I73" s="4">
        <v>46102</v>
      </c>
      <c r="J73" s="4"/>
      <c r="K73" s="1" t="s">
        <v>55</v>
      </c>
      <c r="L73" s="7">
        <f t="shared" si="6"/>
        <v>1</v>
      </c>
      <c r="M73" s="7">
        <f t="shared" si="7"/>
        <v>9</v>
      </c>
      <c r="N73" s="7">
        <f t="shared" si="8"/>
        <v>0</v>
      </c>
      <c r="O73" s="7">
        <f t="shared" si="9"/>
        <v>6</v>
      </c>
      <c r="P73" s="7">
        <f t="shared" si="10"/>
        <v>3</v>
      </c>
      <c r="Q73" s="7" t="str">
        <f>IF(K73="Open",Summary!$B$6-B73,"")</f>
        <v/>
      </c>
      <c r="R73" s="7">
        <f>IF(L73=1,IF(M73&lt;=Summary!$B$5,1,0),"")</f>
        <v>0</v>
      </c>
      <c r="S73" s="1" t="str">
        <f t="shared" si="11"/>
        <v>2026-03</v>
      </c>
    </row>
    <row r="74" spans="1:19" ht="23" customHeight="1">
      <c r="A74" s="1" t="s">
        <v>131</v>
      </c>
      <c r="B74" s="4">
        <v>46094</v>
      </c>
      <c r="C74" s="1" t="s">
        <v>18</v>
      </c>
      <c r="D74" s="1" t="s">
        <v>62</v>
      </c>
      <c r="E74" s="5">
        <v>24000</v>
      </c>
      <c r="F74" s="1">
        <v>1</v>
      </c>
      <c r="G74" s="4">
        <v>46100</v>
      </c>
      <c r="H74" s="4">
        <v>46105</v>
      </c>
      <c r="I74" s="4">
        <v>46108</v>
      </c>
      <c r="J74" s="4"/>
      <c r="K74" s="1" t="s">
        <v>55</v>
      </c>
      <c r="L74" s="7">
        <f t="shared" si="6"/>
        <v>1</v>
      </c>
      <c r="M74" s="7">
        <f t="shared" si="7"/>
        <v>14</v>
      </c>
      <c r="N74" s="7">
        <f t="shared" si="8"/>
        <v>6</v>
      </c>
      <c r="O74" s="7">
        <f t="shared" si="9"/>
        <v>5</v>
      </c>
      <c r="P74" s="7">
        <f t="shared" si="10"/>
        <v>3</v>
      </c>
      <c r="Q74" s="7" t="str">
        <f>IF(K74="Open",Summary!$B$6-B74,"")</f>
        <v/>
      </c>
      <c r="R74" s="7">
        <f>IF(L74=1,IF(M74&lt;=Summary!$B$5,1,0),"")</f>
        <v>0</v>
      </c>
      <c r="S74" s="1" t="str">
        <f t="shared" si="11"/>
        <v>2026-03</v>
      </c>
    </row>
    <row r="75" spans="1:19" ht="23" customHeight="1">
      <c r="A75" s="1" t="s">
        <v>132</v>
      </c>
      <c r="B75" s="4">
        <v>46090</v>
      </c>
      <c r="C75" s="1" t="s">
        <v>19</v>
      </c>
      <c r="D75" s="1" t="s">
        <v>54</v>
      </c>
      <c r="E75" s="5">
        <v>14000</v>
      </c>
      <c r="F75" s="1">
        <v>1</v>
      </c>
      <c r="G75" s="4">
        <v>46093</v>
      </c>
      <c r="H75" s="4">
        <v>46098</v>
      </c>
      <c r="I75" s="4">
        <v>46101</v>
      </c>
      <c r="J75" s="4"/>
      <c r="K75" s="1" t="s">
        <v>63</v>
      </c>
      <c r="L75" s="7">
        <f t="shared" si="6"/>
        <v>1</v>
      </c>
      <c r="M75" s="7">
        <f t="shared" si="7"/>
        <v>11</v>
      </c>
      <c r="N75" s="7">
        <f t="shared" si="8"/>
        <v>3</v>
      </c>
      <c r="O75" s="7">
        <f t="shared" si="9"/>
        <v>5</v>
      </c>
      <c r="P75" s="7">
        <f t="shared" si="10"/>
        <v>3</v>
      </c>
      <c r="Q75" s="7" t="str">
        <f>IF(K75="Open",Summary!$B$6-B75,"")</f>
        <v/>
      </c>
      <c r="R75" s="7">
        <f>IF(L75=1,IF(M75&lt;=Summary!$B$5,1,0),"")</f>
        <v>0</v>
      </c>
      <c r="S75" s="1" t="str">
        <f t="shared" si="11"/>
        <v>2026-03</v>
      </c>
    </row>
    <row r="76" spans="1:19" ht="23" customHeight="1">
      <c r="A76" s="1" t="s">
        <v>133</v>
      </c>
      <c r="B76" s="4">
        <v>46028</v>
      </c>
      <c r="C76" s="1" t="s">
        <v>18</v>
      </c>
      <c r="D76" s="1" t="s">
        <v>59</v>
      </c>
      <c r="E76" s="5">
        <v>7000</v>
      </c>
      <c r="F76" s="1">
        <v>1</v>
      </c>
      <c r="G76" s="4">
        <v>46034</v>
      </c>
      <c r="H76" s="4">
        <v>46036</v>
      </c>
      <c r="I76" s="4">
        <v>46037</v>
      </c>
      <c r="J76" s="4"/>
      <c r="K76" s="1" t="s">
        <v>55</v>
      </c>
      <c r="L76" s="7">
        <f t="shared" si="6"/>
        <v>1</v>
      </c>
      <c r="M76" s="7">
        <f t="shared" si="7"/>
        <v>9</v>
      </c>
      <c r="N76" s="7">
        <f t="shared" si="8"/>
        <v>6</v>
      </c>
      <c r="O76" s="7">
        <f t="shared" si="9"/>
        <v>2</v>
      </c>
      <c r="P76" s="7">
        <f t="shared" si="10"/>
        <v>1</v>
      </c>
      <c r="Q76" s="7" t="str">
        <f>IF(K76="Open",Summary!$B$6-B76,"")</f>
        <v/>
      </c>
      <c r="R76" s="7">
        <f>IF(L76=1,IF(M76&lt;=Summary!$B$5,1,0),"")</f>
        <v>0</v>
      </c>
      <c r="S76" s="1" t="str">
        <f t="shared" si="11"/>
        <v>2026-01</v>
      </c>
    </row>
    <row r="77" spans="1:19" ht="23" customHeight="1">
      <c r="A77" s="1" t="s">
        <v>134</v>
      </c>
      <c r="B77" s="4">
        <v>46062</v>
      </c>
      <c r="C77" s="1" t="s">
        <v>18</v>
      </c>
      <c r="D77" s="1" t="s">
        <v>71</v>
      </c>
      <c r="E77" s="5">
        <v>40000</v>
      </c>
      <c r="F77" s="1">
        <v>1</v>
      </c>
      <c r="G77" s="4">
        <v>46065</v>
      </c>
      <c r="H77" s="4">
        <v>46069</v>
      </c>
      <c r="I77" s="4">
        <v>46071</v>
      </c>
      <c r="J77" s="4"/>
      <c r="K77" s="1" t="s">
        <v>55</v>
      </c>
      <c r="L77" s="7">
        <f t="shared" si="6"/>
        <v>1</v>
      </c>
      <c r="M77" s="7">
        <f t="shared" si="7"/>
        <v>9</v>
      </c>
      <c r="N77" s="7">
        <f t="shared" si="8"/>
        <v>3</v>
      </c>
      <c r="O77" s="7">
        <f t="shared" si="9"/>
        <v>4</v>
      </c>
      <c r="P77" s="7">
        <f t="shared" si="10"/>
        <v>2</v>
      </c>
      <c r="Q77" s="7" t="str">
        <f>IF(K77="Open",Summary!$B$6-B77,"")</f>
        <v/>
      </c>
      <c r="R77" s="7">
        <f>IF(L77=1,IF(M77&lt;=Summary!$B$5,1,0),"")</f>
        <v>0</v>
      </c>
      <c r="S77" s="1" t="str">
        <f t="shared" si="11"/>
        <v>2026-02</v>
      </c>
    </row>
    <row r="78" spans="1:19" ht="23" customHeight="1">
      <c r="A78" s="1" t="s">
        <v>135</v>
      </c>
      <c r="B78" s="4">
        <v>46028</v>
      </c>
      <c r="C78" s="1" t="s">
        <v>19</v>
      </c>
      <c r="D78" s="1" t="s">
        <v>54</v>
      </c>
      <c r="E78" s="5">
        <v>7000</v>
      </c>
      <c r="F78" s="1">
        <v>0</v>
      </c>
      <c r="G78" s="4">
        <v>46030</v>
      </c>
      <c r="H78" s="4">
        <v>46035</v>
      </c>
      <c r="I78" s="4">
        <v>46037</v>
      </c>
      <c r="J78" s="4"/>
      <c r="K78" s="1" t="s">
        <v>55</v>
      </c>
      <c r="L78" s="7">
        <f t="shared" si="6"/>
        <v>1</v>
      </c>
      <c r="M78" s="7">
        <f t="shared" si="7"/>
        <v>9</v>
      </c>
      <c r="N78" s="7">
        <f t="shared" si="8"/>
        <v>2</v>
      </c>
      <c r="O78" s="7">
        <f t="shared" si="9"/>
        <v>5</v>
      </c>
      <c r="P78" s="7">
        <f t="shared" si="10"/>
        <v>2</v>
      </c>
      <c r="Q78" s="7" t="str">
        <f>IF(K78="Open",Summary!$B$6-B78,"")</f>
        <v/>
      </c>
      <c r="R78" s="7">
        <f>IF(L78=1,IF(M78&lt;=Summary!$B$5,1,0),"")</f>
        <v>0</v>
      </c>
      <c r="S78" s="1" t="str">
        <f t="shared" si="11"/>
        <v>2026-01</v>
      </c>
    </row>
    <row r="79" spans="1:19" ht="23" customHeight="1">
      <c r="A79" s="1" t="s">
        <v>136</v>
      </c>
      <c r="B79" s="4">
        <v>46081</v>
      </c>
      <c r="C79" s="1" t="s">
        <v>19</v>
      </c>
      <c r="D79" s="1" t="s">
        <v>54</v>
      </c>
      <c r="E79" s="5">
        <v>23000</v>
      </c>
      <c r="F79" s="1">
        <v>1</v>
      </c>
      <c r="G79" s="4">
        <v>46086</v>
      </c>
      <c r="H79" s="4">
        <v>46088</v>
      </c>
      <c r="I79" s="4">
        <v>46091</v>
      </c>
      <c r="J79" s="4"/>
      <c r="K79" s="1" t="s">
        <v>63</v>
      </c>
      <c r="L79" s="7">
        <f t="shared" si="6"/>
        <v>1</v>
      </c>
      <c r="M79" s="7">
        <f t="shared" si="7"/>
        <v>10</v>
      </c>
      <c r="N79" s="7">
        <f t="shared" si="8"/>
        <v>5</v>
      </c>
      <c r="O79" s="7">
        <f t="shared" si="9"/>
        <v>2</v>
      </c>
      <c r="P79" s="7">
        <f t="shared" si="10"/>
        <v>3</v>
      </c>
      <c r="Q79" s="7" t="str">
        <f>IF(K79="Open",Summary!$B$6-B79,"")</f>
        <v/>
      </c>
      <c r="R79" s="7">
        <f>IF(L79=1,IF(M79&lt;=Summary!$B$5,1,0),"")</f>
        <v>0</v>
      </c>
      <c r="S79" s="1" t="str">
        <f t="shared" si="11"/>
        <v>2026-02</v>
      </c>
    </row>
    <row r="80" spans="1:19" ht="23" customHeight="1">
      <c r="A80" s="1" t="s">
        <v>137</v>
      </c>
      <c r="B80" s="4">
        <v>46043</v>
      </c>
      <c r="C80" s="1" t="s">
        <v>19</v>
      </c>
      <c r="D80" s="1" t="s">
        <v>54</v>
      </c>
      <c r="E80" s="5">
        <v>33000</v>
      </c>
      <c r="F80" s="1">
        <v>1</v>
      </c>
      <c r="G80" s="4">
        <v>46046</v>
      </c>
      <c r="H80" s="4">
        <v>46051</v>
      </c>
      <c r="I80" s="4">
        <v>46053</v>
      </c>
      <c r="J80" s="4"/>
      <c r="K80" s="1" t="s">
        <v>55</v>
      </c>
      <c r="L80" s="7">
        <f t="shared" si="6"/>
        <v>1</v>
      </c>
      <c r="M80" s="7">
        <f t="shared" si="7"/>
        <v>10</v>
      </c>
      <c r="N80" s="7">
        <f t="shared" si="8"/>
        <v>3</v>
      </c>
      <c r="O80" s="7">
        <f t="shared" si="9"/>
        <v>5</v>
      </c>
      <c r="P80" s="7">
        <f t="shared" si="10"/>
        <v>2</v>
      </c>
      <c r="Q80" s="7" t="str">
        <f>IF(K80="Open",Summary!$B$6-B80,"")</f>
        <v/>
      </c>
      <c r="R80" s="7">
        <f>IF(L80=1,IF(M80&lt;=Summary!$B$5,1,0),"")</f>
        <v>0</v>
      </c>
      <c r="S80" s="1" t="str">
        <f t="shared" si="11"/>
        <v>2026-01</v>
      </c>
    </row>
    <row r="81" spans="1:19" ht="23" customHeight="1">
      <c r="A81" s="1" t="s">
        <v>138</v>
      </c>
      <c r="B81" s="4">
        <v>46027</v>
      </c>
      <c r="C81" s="1" t="s">
        <v>18</v>
      </c>
      <c r="D81" s="1" t="s">
        <v>59</v>
      </c>
      <c r="E81" s="5">
        <v>8000</v>
      </c>
      <c r="F81" s="1">
        <v>1</v>
      </c>
      <c r="G81" s="4">
        <v>46030</v>
      </c>
      <c r="H81" s="4">
        <v>46036</v>
      </c>
      <c r="I81" s="4">
        <v>46038</v>
      </c>
      <c r="J81" s="4"/>
      <c r="K81" s="1" t="s">
        <v>63</v>
      </c>
      <c r="L81" s="7">
        <f t="shared" si="6"/>
        <v>1</v>
      </c>
      <c r="M81" s="7">
        <f t="shared" si="7"/>
        <v>11</v>
      </c>
      <c r="N81" s="7">
        <f t="shared" si="8"/>
        <v>3</v>
      </c>
      <c r="O81" s="7">
        <f t="shared" si="9"/>
        <v>6</v>
      </c>
      <c r="P81" s="7">
        <f t="shared" si="10"/>
        <v>2</v>
      </c>
      <c r="Q81" s="7" t="str">
        <f>IF(K81="Open",Summary!$B$6-B81,"")</f>
        <v/>
      </c>
      <c r="R81" s="7">
        <f>IF(L81=1,IF(M81&lt;=Summary!$B$5,1,0),"")</f>
        <v>0</v>
      </c>
      <c r="S81" s="1" t="str">
        <f t="shared" si="11"/>
        <v>2026-01</v>
      </c>
    </row>
    <row r="82" spans="1:19" ht="23" customHeight="1">
      <c r="A82" s="1" t="s">
        <v>139</v>
      </c>
      <c r="B82" s="4">
        <v>46031</v>
      </c>
      <c r="C82" s="1" t="s">
        <v>18</v>
      </c>
      <c r="D82" s="1" t="s">
        <v>62</v>
      </c>
      <c r="E82" s="5">
        <v>6000</v>
      </c>
      <c r="F82" s="1">
        <v>1</v>
      </c>
      <c r="G82" s="4">
        <v>46038</v>
      </c>
      <c r="H82" s="4">
        <v>46043</v>
      </c>
      <c r="I82" s="4">
        <v>46044</v>
      </c>
      <c r="J82" s="4"/>
      <c r="K82" s="1" t="s">
        <v>55</v>
      </c>
      <c r="L82" s="7">
        <f t="shared" si="6"/>
        <v>1</v>
      </c>
      <c r="M82" s="7">
        <f t="shared" si="7"/>
        <v>13</v>
      </c>
      <c r="N82" s="7">
        <f t="shared" si="8"/>
        <v>7</v>
      </c>
      <c r="O82" s="7">
        <f t="shared" si="9"/>
        <v>5</v>
      </c>
      <c r="P82" s="7">
        <f t="shared" si="10"/>
        <v>1</v>
      </c>
      <c r="Q82" s="7" t="str">
        <f>IF(K82="Open",Summary!$B$6-B82,"")</f>
        <v/>
      </c>
      <c r="R82" s="7">
        <f>IF(L82=1,IF(M82&lt;=Summary!$B$5,1,0),"")</f>
        <v>0</v>
      </c>
      <c r="S82" s="1" t="str">
        <f t="shared" si="11"/>
        <v>2026-01</v>
      </c>
    </row>
    <row r="83" spans="1:19" ht="23" customHeight="1">
      <c r="A83" s="1" t="s">
        <v>140</v>
      </c>
      <c r="B83" s="4">
        <v>46082</v>
      </c>
      <c r="C83" s="1" t="s">
        <v>18</v>
      </c>
      <c r="D83" s="1" t="s">
        <v>62</v>
      </c>
      <c r="E83" s="5">
        <v>20000</v>
      </c>
      <c r="F83" s="1">
        <v>0</v>
      </c>
      <c r="G83" s="4">
        <v>46084</v>
      </c>
      <c r="H83" s="4">
        <v>46089</v>
      </c>
      <c r="I83" s="4">
        <v>46092</v>
      </c>
      <c r="J83" s="4"/>
      <c r="K83" s="1" t="s">
        <v>55</v>
      </c>
      <c r="L83" s="7">
        <f t="shared" si="6"/>
        <v>1</v>
      </c>
      <c r="M83" s="7">
        <f t="shared" si="7"/>
        <v>10</v>
      </c>
      <c r="N83" s="7">
        <f t="shared" si="8"/>
        <v>2</v>
      </c>
      <c r="O83" s="7">
        <f t="shared" si="9"/>
        <v>5</v>
      </c>
      <c r="P83" s="7">
        <f t="shared" si="10"/>
        <v>3</v>
      </c>
      <c r="Q83" s="7" t="str">
        <f>IF(K83="Open",Summary!$B$6-B83,"")</f>
        <v/>
      </c>
      <c r="R83" s="7">
        <f>IF(L83=1,IF(M83&lt;=Summary!$B$5,1,0),"")</f>
        <v>0</v>
      </c>
      <c r="S83" s="1" t="str">
        <f t="shared" si="11"/>
        <v>2026-03</v>
      </c>
    </row>
    <row r="84" spans="1:19" ht="23" customHeight="1">
      <c r="A84" s="1" t="s">
        <v>141</v>
      </c>
      <c r="B84" s="4">
        <v>46087</v>
      </c>
      <c r="C84" s="1" t="s">
        <v>18</v>
      </c>
      <c r="D84" s="1" t="s">
        <v>65</v>
      </c>
      <c r="E84" s="5">
        <v>11000</v>
      </c>
      <c r="F84" s="1">
        <v>0</v>
      </c>
      <c r="G84" s="4">
        <v>46089</v>
      </c>
      <c r="H84" s="4">
        <v>46090</v>
      </c>
      <c r="I84" s="4">
        <v>46091</v>
      </c>
      <c r="J84" s="4"/>
      <c r="K84" s="1" t="s">
        <v>55</v>
      </c>
      <c r="L84" s="7">
        <f t="shared" si="6"/>
        <v>1</v>
      </c>
      <c r="M84" s="7">
        <f t="shared" si="7"/>
        <v>4</v>
      </c>
      <c r="N84" s="7">
        <f t="shared" si="8"/>
        <v>2</v>
      </c>
      <c r="O84" s="7">
        <f t="shared" si="9"/>
        <v>1</v>
      </c>
      <c r="P84" s="7">
        <f t="shared" si="10"/>
        <v>1</v>
      </c>
      <c r="Q84" s="7" t="str">
        <f>IF(K84="Open",Summary!$B$6-B84,"")</f>
        <v/>
      </c>
      <c r="R84" s="7">
        <f>IF(L84=1,IF(M84&lt;=Summary!$B$5,1,0),"")</f>
        <v>1</v>
      </c>
      <c r="S84" s="1" t="str">
        <f t="shared" si="11"/>
        <v>2026-03</v>
      </c>
    </row>
    <row r="85" spans="1:19" ht="23" customHeight="1">
      <c r="A85" s="1" t="s">
        <v>142</v>
      </c>
      <c r="B85" s="4">
        <v>46112</v>
      </c>
      <c r="C85" s="1" t="s">
        <v>18</v>
      </c>
      <c r="D85" s="1" t="s">
        <v>62</v>
      </c>
      <c r="E85" s="5">
        <v>42000</v>
      </c>
      <c r="F85" s="1">
        <v>0</v>
      </c>
      <c r="G85" s="4"/>
      <c r="H85" s="4"/>
      <c r="I85" s="4"/>
      <c r="J85" s="4"/>
      <c r="K85" s="1" t="s">
        <v>69</v>
      </c>
      <c r="L85" s="7">
        <f t="shared" si="6"/>
        <v>0</v>
      </c>
      <c r="M85" s="7" t="str">
        <f t="shared" si="7"/>
        <v/>
      </c>
      <c r="N85" s="7" t="str">
        <f t="shared" si="8"/>
        <v/>
      </c>
      <c r="O85" s="7" t="str">
        <f t="shared" si="9"/>
        <v/>
      </c>
      <c r="P85" s="7" t="str">
        <f t="shared" si="10"/>
        <v/>
      </c>
      <c r="Q85" s="7">
        <f>IF(K85="Open",Summary!$B$6-B85,"")</f>
        <v>0</v>
      </c>
      <c r="R85" s="7" t="str">
        <f>IF(L85=1,IF(M85&lt;=Summary!$B$5,1,0),"")</f>
        <v/>
      </c>
      <c r="S85" s="1" t="str">
        <f t="shared" si="11"/>
        <v>2026-03</v>
      </c>
    </row>
    <row r="86" spans="1:19" ht="23" customHeight="1">
      <c r="A86" s="1" t="s">
        <v>143</v>
      </c>
      <c r="B86" s="4">
        <v>46084</v>
      </c>
      <c r="C86" s="1" t="s">
        <v>19</v>
      </c>
      <c r="D86" s="1" t="s">
        <v>54</v>
      </c>
      <c r="E86" s="5">
        <v>41000</v>
      </c>
      <c r="F86" s="1">
        <v>1</v>
      </c>
      <c r="G86" s="4">
        <v>46094</v>
      </c>
      <c r="H86" s="4">
        <v>46097</v>
      </c>
      <c r="I86" s="4">
        <v>46098</v>
      </c>
      <c r="J86" s="4"/>
      <c r="K86" s="1" t="s">
        <v>55</v>
      </c>
      <c r="L86" s="7">
        <f t="shared" si="6"/>
        <v>1</v>
      </c>
      <c r="M86" s="7">
        <f t="shared" si="7"/>
        <v>14</v>
      </c>
      <c r="N86" s="7">
        <f t="shared" si="8"/>
        <v>10</v>
      </c>
      <c r="O86" s="7">
        <f t="shared" si="9"/>
        <v>3</v>
      </c>
      <c r="P86" s="7">
        <f t="shared" si="10"/>
        <v>1</v>
      </c>
      <c r="Q86" s="7" t="str">
        <f>IF(K86="Open",Summary!$B$6-B86,"")</f>
        <v/>
      </c>
      <c r="R86" s="7">
        <f>IF(L86=1,IF(M86&lt;=Summary!$B$5,1,0),"")</f>
        <v>0</v>
      </c>
      <c r="S86" s="1" t="str">
        <f t="shared" si="11"/>
        <v>2026-03</v>
      </c>
    </row>
    <row r="87" spans="1:19" ht="23" customHeight="1">
      <c r="A87" s="1" t="s">
        <v>144</v>
      </c>
      <c r="B87" s="4">
        <v>46043</v>
      </c>
      <c r="C87" s="1" t="s">
        <v>18</v>
      </c>
      <c r="D87" s="1" t="s">
        <v>62</v>
      </c>
      <c r="E87" s="5">
        <v>47000</v>
      </c>
      <c r="F87" s="1">
        <v>0</v>
      </c>
      <c r="G87" s="4">
        <v>46044</v>
      </c>
      <c r="H87" s="4">
        <v>46051</v>
      </c>
      <c r="I87" s="4">
        <v>46053</v>
      </c>
      <c r="J87" s="4"/>
      <c r="K87" s="1" t="s">
        <v>63</v>
      </c>
      <c r="L87" s="7">
        <f t="shared" si="6"/>
        <v>1</v>
      </c>
      <c r="M87" s="7">
        <f t="shared" si="7"/>
        <v>10</v>
      </c>
      <c r="N87" s="7">
        <f t="shared" si="8"/>
        <v>1</v>
      </c>
      <c r="O87" s="7">
        <f t="shared" si="9"/>
        <v>7</v>
      </c>
      <c r="P87" s="7">
        <f t="shared" si="10"/>
        <v>2</v>
      </c>
      <c r="Q87" s="7" t="str">
        <f>IF(K87="Open",Summary!$B$6-B87,"")</f>
        <v/>
      </c>
      <c r="R87" s="7">
        <f>IF(L87=1,IF(M87&lt;=Summary!$B$5,1,0),"")</f>
        <v>0</v>
      </c>
      <c r="S87" s="1" t="str">
        <f t="shared" si="11"/>
        <v>2026-01</v>
      </c>
    </row>
    <row r="88" spans="1:19" ht="23" customHeight="1">
      <c r="A88" s="1" t="s">
        <v>145</v>
      </c>
      <c r="B88" s="4">
        <v>46073</v>
      </c>
      <c r="C88" s="1" t="s">
        <v>18</v>
      </c>
      <c r="D88" s="1" t="s">
        <v>71</v>
      </c>
      <c r="E88" s="5">
        <v>28000</v>
      </c>
      <c r="F88" s="1">
        <v>1</v>
      </c>
      <c r="G88" s="4">
        <v>46080</v>
      </c>
      <c r="H88" s="4">
        <v>46085</v>
      </c>
      <c r="I88" s="4">
        <v>46086</v>
      </c>
      <c r="J88" s="4"/>
      <c r="K88" s="1" t="s">
        <v>63</v>
      </c>
      <c r="L88" s="7">
        <f t="shared" si="6"/>
        <v>1</v>
      </c>
      <c r="M88" s="7">
        <f t="shared" si="7"/>
        <v>13</v>
      </c>
      <c r="N88" s="7">
        <f t="shared" si="8"/>
        <v>7</v>
      </c>
      <c r="O88" s="7">
        <f t="shared" si="9"/>
        <v>5</v>
      </c>
      <c r="P88" s="7">
        <f t="shared" si="10"/>
        <v>1</v>
      </c>
      <c r="Q88" s="7" t="str">
        <f>IF(K88="Open",Summary!$B$6-B88,"")</f>
        <v/>
      </c>
      <c r="R88" s="7">
        <f>IF(L88=1,IF(M88&lt;=Summary!$B$5,1,0),"")</f>
        <v>0</v>
      </c>
      <c r="S88" s="1" t="str">
        <f t="shared" si="11"/>
        <v>2026-02</v>
      </c>
    </row>
    <row r="89" spans="1:19" ht="23" customHeight="1">
      <c r="A89" s="1" t="s">
        <v>146</v>
      </c>
      <c r="B89" s="4">
        <v>46033</v>
      </c>
      <c r="C89" s="1" t="s">
        <v>18</v>
      </c>
      <c r="D89" s="1" t="s">
        <v>71</v>
      </c>
      <c r="E89" s="5">
        <v>23000</v>
      </c>
      <c r="F89" s="1">
        <v>0</v>
      </c>
      <c r="G89" s="4">
        <v>46034</v>
      </c>
      <c r="H89" s="4">
        <v>46035</v>
      </c>
      <c r="I89" s="4">
        <v>46037</v>
      </c>
      <c r="J89" s="4"/>
      <c r="K89" s="1" t="s">
        <v>55</v>
      </c>
      <c r="L89" s="7">
        <f t="shared" si="6"/>
        <v>1</v>
      </c>
      <c r="M89" s="7">
        <f t="shared" si="7"/>
        <v>4</v>
      </c>
      <c r="N89" s="7">
        <f t="shared" si="8"/>
        <v>1</v>
      </c>
      <c r="O89" s="7">
        <f t="shared" si="9"/>
        <v>1</v>
      </c>
      <c r="P89" s="7">
        <f t="shared" si="10"/>
        <v>2</v>
      </c>
      <c r="Q89" s="7" t="str">
        <f>IF(K89="Open",Summary!$B$6-B89,"")</f>
        <v/>
      </c>
      <c r="R89" s="7">
        <f>IF(L89=1,IF(M89&lt;=Summary!$B$5,1,0),"")</f>
        <v>1</v>
      </c>
      <c r="S89" s="1" t="str">
        <f t="shared" si="11"/>
        <v>2026-01</v>
      </c>
    </row>
    <row r="90" spans="1:19" ht="23" customHeight="1">
      <c r="A90" s="1" t="s">
        <v>147</v>
      </c>
      <c r="B90" s="4">
        <v>46107</v>
      </c>
      <c r="C90" s="1" t="s">
        <v>19</v>
      </c>
      <c r="D90" s="1" t="s">
        <v>54</v>
      </c>
      <c r="E90" s="5">
        <v>6000</v>
      </c>
      <c r="F90" s="1">
        <v>0</v>
      </c>
      <c r="G90" s="4">
        <v>46109</v>
      </c>
      <c r="H90" s="4">
        <v>46111</v>
      </c>
      <c r="I90" s="4">
        <v>46112</v>
      </c>
      <c r="J90" s="4"/>
      <c r="K90" s="1" t="s">
        <v>55</v>
      </c>
      <c r="L90" s="7">
        <f t="shared" si="6"/>
        <v>1</v>
      </c>
      <c r="M90" s="7">
        <f t="shared" si="7"/>
        <v>5</v>
      </c>
      <c r="N90" s="7">
        <f t="shared" si="8"/>
        <v>2</v>
      </c>
      <c r="O90" s="7">
        <f t="shared" si="9"/>
        <v>2</v>
      </c>
      <c r="P90" s="7">
        <f t="shared" si="10"/>
        <v>1</v>
      </c>
      <c r="Q90" s="7" t="str">
        <f>IF(K90="Open",Summary!$B$6-B90,"")</f>
        <v/>
      </c>
      <c r="R90" s="7">
        <f>IF(L90=1,IF(M90&lt;=Summary!$B$5,1,0),"")</f>
        <v>1</v>
      </c>
      <c r="S90" s="1" t="str">
        <f t="shared" si="11"/>
        <v>2026-03</v>
      </c>
    </row>
    <row r="91" spans="1:19" ht="23" customHeight="1">
      <c r="A91" s="1" t="s">
        <v>148</v>
      </c>
      <c r="B91" s="4">
        <v>46057</v>
      </c>
      <c r="C91" s="1" t="s">
        <v>19</v>
      </c>
      <c r="D91" s="1" t="s">
        <v>54</v>
      </c>
      <c r="E91" s="5">
        <v>5000</v>
      </c>
      <c r="F91" s="1">
        <v>0</v>
      </c>
      <c r="G91" s="4">
        <v>46057</v>
      </c>
      <c r="H91" s="4">
        <v>46063</v>
      </c>
      <c r="I91" s="4">
        <v>46066</v>
      </c>
      <c r="J91" s="4"/>
      <c r="K91" s="1" t="s">
        <v>63</v>
      </c>
      <c r="L91" s="7">
        <f t="shared" si="6"/>
        <v>1</v>
      </c>
      <c r="M91" s="7">
        <f t="shared" si="7"/>
        <v>9</v>
      </c>
      <c r="N91" s="7">
        <f t="shared" si="8"/>
        <v>0</v>
      </c>
      <c r="O91" s="7">
        <f t="shared" si="9"/>
        <v>6</v>
      </c>
      <c r="P91" s="7">
        <f t="shared" si="10"/>
        <v>3</v>
      </c>
      <c r="Q91" s="7" t="str">
        <f>IF(K91="Open",Summary!$B$6-B91,"")</f>
        <v/>
      </c>
      <c r="R91" s="7">
        <f>IF(L91=1,IF(M91&lt;=Summary!$B$5,1,0),"")</f>
        <v>0</v>
      </c>
      <c r="S91" s="1" t="str">
        <f t="shared" si="11"/>
        <v>2026-02</v>
      </c>
    </row>
    <row r="92" spans="1:19" ht="23" customHeight="1">
      <c r="A92" s="1" t="s">
        <v>149</v>
      </c>
      <c r="B92" s="4">
        <v>46099</v>
      </c>
      <c r="C92" s="1" t="s">
        <v>18</v>
      </c>
      <c r="D92" s="1" t="s">
        <v>71</v>
      </c>
      <c r="E92" s="5">
        <v>26000</v>
      </c>
      <c r="F92" s="1">
        <v>0</v>
      </c>
      <c r="G92" s="4">
        <v>46101</v>
      </c>
      <c r="H92" s="4">
        <v>46107</v>
      </c>
      <c r="I92" s="4">
        <v>46110</v>
      </c>
      <c r="J92" s="4"/>
      <c r="K92" s="1" t="s">
        <v>55</v>
      </c>
      <c r="L92" s="7">
        <f t="shared" si="6"/>
        <v>1</v>
      </c>
      <c r="M92" s="7">
        <f t="shared" si="7"/>
        <v>11</v>
      </c>
      <c r="N92" s="7">
        <f t="shared" si="8"/>
        <v>2</v>
      </c>
      <c r="O92" s="7">
        <f t="shared" si="9"/>
        <v>6</v>
      </c>
      <c r="P92" s="7">
        <f t="shared" si="10"/>
        <v>3</v>
      </c>
      <c r="Q92" s="7" t="str">
        <f>IF(K92="Open",Summary!$B$6-B92,"")</f>
        <v/>
      </c>
      <c r="R92" s="7">
        <f>IF(L92=1,IF(M92&lt;=Summary!$B$5,1,0),"")</f>
        <v>0</v>
      </c>
      <c r="S92" s="1" t="str">
        <f t="shared" si="11"/>
        <v>2026-03</v>
      </c>
    </row>
    <row r="93" spans="1:19" ht="23" customHeight="1">
      <c r="A93" s="1" t="s">
        <v>150</v>
      </c>
      <c r="B93" s="4">
        <v>46088</v>
      </c>
      <c r="C93" s="1" t="s">
        <v>19</v>
      </c>
      <c r="D93" s="1" t="s">
        <v>54</v>
      </c>
      <c r="E93" s="5">
        <v>6000</v>
      </c>
      <c r="F93" s="1">
        <v>0</v>
      </c>
      <c r="G93" s="4">
        <v>46088</v>
      </c>
      <c r="H93" s="4">
        <v>46093</v>
      </c>
      <c r="I93" s="4">
        <v>46096</v>
      </c>
      <c r="J93" s="4"/>
      <c r="K93" s="1" t="s">
        <v>55</v>
      </c>
      <c r="L93" s="7">
        <f t="shared" si="6"/>
        <v>1</v>
      </c>
      <c r="M93" s="7">
        <f t="shared" si="7"/>
        <v>8</v>
      </c>
      <c r="N93" s="7">
        <f t="shared" si="8"/>
        <v>0</v>
      </c>
      <c r="O93" s="7">
        <f t="shared" si="9"/>
        <v>5</v>
      </c>
      <c r="P93" s="7">
        <f t="shared" si="10"/>
        <v>3</v>
      </c>
      <c r="Q93" s="7" t="str">
        <f>IF(K93="Open",Summary!$B$6-B93,"")</f>
        <v/>
      </c>
      <c r="R93" s="7">
        <f>IF(L93=1,IF(M93&lt;=Summary!$B$5,1,0),"")</f>
        <v>0</v>
      </c>
      <c r="S93" s="1" t="str">
        <f t="shared" si="11"/>
        <v>2026-03</v>
      </c>
    </row>
    <row r="94" spans="1:19" ht="23" customHeight="1">
      <c r="A94" s="1" t="s">
        <v>151</v>
      </c>
      <c r="B94" s="4">
        <v>46112</v>
      </c>
      <c r="C94" s="1" t="s">
        <v>18</v>
      </c>
      <c r="D94" s="1" t="s">
        <v>65</v>
      </c>
      <c r="E94" s="5">
        <v>19000</v>
      </c>
      <c r="F94" s="1">
        <v>1</v>
      </c>
      <c r="G94" s="4"/>
      <c r="H94" s="4"/>
      <c r="I94" s="4"/>
      <c r="J94" s="4"/>
      <c r="K94" s="1" t="s">
        <v>69</v>
      </c>
      <c r="L94" s="7">
        <f t="shared" si="6"/>
        <v>0</v>
      </c>
      <c r="M94" s="7" t="str">
        <f t="shared" si="7"/>
        <v/>
      </c>
      <c r="N94" s="7" t="str">
        <f t="shared" si="8"/>
        <v/>
      </c>
      <c r="O94" s="7" t="str">
        <f t="shared" si="9"/>
        <v/>
      </c>
      <c r="P94" s="7" t="str">
        <f t="shared" si="10"/>
        <v/>
      </c>
      <c r="Q94" s="7">
        <f>IF(K94="Open",Summary!$B$6-B94,"")</f>
        <v>0</v>
      </c>
      <c r="R94" s="7" t="str">
        <f>IF(L94=1,IF(M94&lt;=Summary!$B$5,1,0),"")</f>
        <v/>
      </c>
      <c r="S94" s="1" t="str">
        <f t="shared" si="11"/>
        <v>2026-03</v>
      </c>
    </row>
    <row r="95" spans="1:19" ht="23" customHeight="1">
      <c r="A95" s="1" t="s">
        <v>152</v>
      </c>
      <c r="B95" s="4">
        <v>46028</v>
      </c>
      <c r="C95" s="1" t="s">
        <v>18</v>
      </c>
      <c r="D95" s="1" t="s">
        <v>65</v>
      </c>
      <c r="E95" s="5">
        <v>42000</v>
      </c>
      <c r="F95" s="1">
        <v>1</v>
      </c>
      <c r="G95" s="4">
        <v>46033</v>
      </c>
      <c r="H95" s="4">
        <v>46035</v>
      </c>
      <c r="I95" s="4">
        <v>46037</v>
      </c>
      <c r="J95" s="4"/>
      <c r="K95" s="1" t="s">
        <v>55</v>
      </c>
      <c r="L95" s="7">
        <f t="shared" si="6"/>
        <v>1</v>
      </c>
      <c r="M95" s="7">
        <f t="shared" si="7"/>
        <v>9</v>
      </c>
      <c r="N95" s="7">
        <f t="shared" si="8"/>
        <v>5</v>
      </c>
      <c r="O95" s="7">
        <f t="shared" si="9"/>
        <v>2</v>
      </c>
      <c r="P95" s="7">
        <f t="shared" si="10"/>
        <v>2</v>
      </c>
      <c r="Q95" s="7" t="str">
        <f>IF(K95="Open",Summary!$B$6-B95,"")</f>
        <v/>
      </c>
      <c r="R95" s="7">
        <f>IF(L95=1,IF(M95&lt;=Summary!$B$5,1,0),"")</f>
        <v>0</v>
      </c>
      <c r="S95" s="1" t="str">
        <f t="shared" si="11"/>
        <v>2026-01</v>
      </c>
    </row>
    <row r="96" spans="1:19" ht="23" customHeight="1">
      <c r="A96" s="1" t="s">
        <v>153</v>
      </c>
      <c r="B96" s="4">
        <v>46078</v>
      </c>
      <c r="C96" s="1" t="s">
        <v>18</v>
      </c>
      <c r="D96" s="1" t="s">
        <v>62</v>
      </c>
      <c r="E96" s="5">
        <v>49000</v>
      </c>
      <c r="F96" s="1">
        <v>0</v>
      </c>
      <c r="G96" s="4">
        <v>46079</v>
      </c>
      <c r="H96" s="4">
        <v>46086</v>
      </c>
      <c r="I96" s="4">
        <v>46088</v>
      </c>
      <c r="J96" s="4"/>
      <c r="K96" s="1" t="s">
        <v>63</v>
      </c>
      <c r="L96" s="7">
        <f t="shared" si="6"/>
        <v>1</v>
      </c>
      <c r="M96" s="7">
        <f t="shared" si="7"/>
        <v>10</v>
      </c>
      <c r="N96" s="7">
        <f t="shared" si="8"/>
        <v>1</v>
      </c>
      <c r="O96" s="7">
        <f t="shared" si="9"/>
        <v>7</v>
      </c>
      <c r="P96" s="7">
        <f t="shared" si="10"/>
        <v>2</v>
      </c>
      <c r="Q96" s="7" t="str">
        <f>IF(K96="Open",Summary!$B$6-B96,"")</f>
        <v/>
      </c>
      <c r="R96" s="7">
        <f>IF(L96=1,IF(M96&lt;=Summary!$B$5,1,0),"")</f>
        <v>0</v>
      </c>
      <c r="S96" s="1" t="str">
        <f t="shared" si="11"/>
        <v>2026-02</v>
      </c>
    </row>
    <row r="97" spans="1:19" ht="23" customHeight="1">
      <c r="A97" s="1" t="s">
        <v>154</v>
      </c>
      <c r="B97" s="4">
        <v>46059</v>
      </c>
      <c r="C97" s="1" t="s">
        <v>18</v>
      </c>
      <c r="D97" s="1" t="s">
        <v>65</v>
      </c>
      <c r="E97" s="5">
        <v>13000</v>
      </c>
      <c r="F97" s="1">
        <v>1</v>
      </c>
      <c r="G97" s="4">
        <v>46064</v>
      </c>
      <c r="H97" s="4">
        <v>46065</v>
      </c>
      <c r="I97" s="4">
        <v>46066</v>
      </c>
      <c r="J97" s="4"/>
      <c r="K97" s="1" t="s">
        <v>55</v>
      </c>
      <c r="L97" s="7">
        <f t="shared" si="6"/>
        <v>1</v>
      </c>
      <c r="M97" s="7">
        <f t="shared" si="7"/>
        <v>7</v>
      </c>
      <c r="N97" s="7">
        <f t="shared" si="8"/>
        <v>5</v>
      </c>
      <c r="O97" s="7">
        <f t="shared" si="9"/>
        <v>1</v>
      </c>
      <c r="P97" s="7">
        <f t="shared" si="10"/>
        <v>1</v>
      </c>
      <c r="Q97" s="7" t="str">
        <f>IF(K97="Open",Summary!$B$6-B97,"")</f>
        <v/>
      </c>
      <c r="R97" s="7">
        <f>IF(L97=1,IF(M97&lt;=Summary!$B$5,1,0),"")</f>
        <v>1</v>
      </c>
      <c r="S97" s="1" t="str">
        <f t="shared" si="11"/>
        <v>2026-02</v>
      </c>
    </row>
    <row r="98" spans="1:19" ht="23" customHeight="1">
      <c r="A98" s="1" t="s">
        <v>155</v>
      </c>
      <c r="B98" s="4">
        <v>46044</v>
      </c>
      <c r="C98" s="1" t="s">
        <v>18</v>
      </c>
      <c r="D98" s="1" t="s">
        <v>59</v>
      </c>
      <c r="E98" s="5">
        <v>34000</v>
      </c>
      <c r="F98" s="1">
        <v>0</v>
      </c>
      <c r="G98" s="4">
        <v>46044</v>
      </c>
      <c r="H98" s="4">
        <v>46049</v>
      </c>
      <c r="I98" s="4">
        <v>46050</v>
      </c>
      <c r="J98" s="4"/>
      <c r="K98" s="1" t="s">
        <v>55</v>
      </c>
      <c r="L98" s="7">
        <f t="shared" si="6"/>
        <v>1</v>
      </c>
      <c r="M98" s="7">
        <f t="shared" si="7"/>
        <v>6</v>
      </c>
      <c r="N98" s="7">
        <f t="shared" si="8"/>
        <v>0</v>
      </c>
      <c r="O98" s="7">
        <f t="shared" si="9"/>
        <v>5</v>
      </c>
      <c r="P98" s="7">
        <f t="shared" si="10"/>
        <v>1</v>
      </c>
      <c r="Q98" s="7" t="str">
        <f>IF(K98="Open",Summary!$B$6-B98,"")</f>
        <v/>
      </c>
      <c r="R98" s="7">
        <f>IF(L98=1,IF(M98&lt;=Summary!$B$5,1,0),"")</f>
        <v>1</v>
      </c>
      <c r="S98" s="1" t="str">
        <f t="shared" si="11"/>
        <v>2026-01</v>
      </c>
    </row>
    <row r="99" spans="1:19" ht="23" customHeight="1">
      <c r="A99" s="1" t="s">
        <v>156</v>
      </c>
      <c r="B99" s="4">
        <v>46079</v>
      </c>
      <c r="C99" s="1" t="s">
        <v>18</v>
      </c>
      <c r="D99" s="1" t="s">
        <v>71</v>
      </c>
      <c r="E99" s="5">
        <v>37000</v>
      </c>
      <c r="F99" s="1">
        <v>1</v>
      </c>
      <c r="G99" s="4"/>
      <c r="H99" s="4"/>
      <c r="I99" s="4"/>
      <c r="J99" s="4">
        <v>46081</v>
      </c>
      <c r="K99" s="1" t="s">
        <v>86</v>
      </c>
      <c r="L99" s="7">
        <f t="shared" si="6"/>
        <v>0</v>
      </c>
      <c r="M99" s="7" t="str">
        <f t="shared" si="7"/>
        <v/>
      </c>
      <c r="N99" s="7" t="str">
        <f t="shared" si="8"/>
        <v/>
      </c>
      <c r="O99" s="7" t="str">
        <f t="shared" si="9"/>
        <v/>
      </c>
      <c r="P99" s="7" t="str">
        <f t="shared" si="10"/>
        <v/>
      </c>
      <c r="Q99" s="7" t="str">
        <f>IF(K99="Open",Summary!$B$6-B99,"")</f>
        <v/>
      </c>
      <c r="R99" s="7" t="str">
        <f>IF(L99=1,IF(M99&lt;=Summary!$B$5,1,0),"")</f>
        <v/>
      </c>
      <c r="S99" s="1" t="str">
        <f t="shared" si="11"/>
        <v>2026-02</v>
      </c>
    </row>
    <row r="100" spans="1:19" ht="23" customHeight="1">
      <c r="A100" s="1" t="s">
        <v>157</v>
      </c>
      <c r="B100" s="4">
        <v>46111</v>
      </c>
      <c r="C100" s="1" t="s">
        <v>19</v>
      </c>
      <c r="D100" s="1" t="s">
        <v>54</v>
      </c>
      <c r="E100" s="5">
        <v>17000</v>
      </c>
      <c r="F100" s="1">
        <v>0</v>
      </c>
      <c r="G100" s="4">
        <v>46111</v>
      </c>
      <c r="H100" s="4">
        <v>46112</v>
      </c>
      <c r="I100" s="4"/>
      <c r="J100" s="4"/>
      <c r="K100" s="1" t="s">
        <v>69</v>
      </c>
      <c r="L100" s="7">
        <f t="shared" si="6"/>
        <v>0</v>
      </c>
      <c r="M100" s="7" t="str">
        <f t="shared" si="7"/>
        <v/>
      </c>
      <c r="N100" s="7" t="str">
        <f t="shared" si="8"/>
        <v/>
      </c>
      <c r="O100" s="7" t="str">
        <f t="shared" si="9"/>
        <v/>
      </c>
      <c r="P100" s="7" t="str">
        <f t="shared" si="10"/>
        <v/>
      </c>
      <c r="Q100" s="7">
        <f>IF(K100="Open",Summary!$B$6-B100,"")</f>
        <v>1</v>
      </c>
      <c r="R100" s="7" t="str">
        <f>IF(L100=1,IF(M100&lt;=Summary!$B$5,1,0),"")</f>
        <v/>
      </c>
      <c r="S100" s="1" t="str">
        <f t="shared" si="11"/>
        <v>2026-03</v>
      </c>
    </row>
    <row r="101" spans="1:19" ht="23" customHeight="1">
      <c r="A101" s="1" t="s">
        <v>158</v>
      </c>
      <c r="B101" s="4">
        <v>46104</v>
      </c>
      <c r="C101" s="1" t="s">
        <v>18</v>
      </c>
      <c r="D101" s="1" t="s">
        <v>62</v>
      </c>
      <c r="E101" s="5">
        <v>12000</v>
      </c>
      <c r="F101" s="1">
        <v>0</v>
      </c>
      <c r="G101" s="4">
        <v>46104</v>
      </c>
      <c r="H101" s="4">
        <v>46110</v>
      </c>
      <c r="I101" s="4"/>
      <c r="J101" s="4"/>
      <c r="K101" s="1" t="s">
        <v>69</v>
      </c>
      <c r="L101" s="7">
        <f t="shared" si="6"/>
        <v>0</v>
      </c>
      <c r="M101" s="7" t="str">
        <f t="shared" si="7"/>
        <v/>
      </c>
      <c r="N101" s="7" t="str">
        <f t="shared" si="8"/>
        <v/>
      </c>
      <c r="O101" s="7" t="str">
        <f t="shared" si="9"/>
        <v/>
      </c>
      <c r="P101" s="7" t="str">
        <f t="shared" si="10"/>
        <v/>
      </c>
      <c r="Q101" s="7">
        <f>IF(K101="Open",Summary!$B$6-B101,"")</f>
        <v>8</v>
      </c>
      <c r="R101" s="7" t="str">
        <f>IF(L101=1,IF(M101&lt;=Summary!$B$5,1,0),"")</f>
        <v/>
      </c>
      <c r="S101" s="1" t="str">
        <f t="shared" si="11"/>
        <v>2026-03</v>
      </c>
    </row>
    <row r="102" spans="1:19" ht="23" customHeight="1">
      <c r="A102" s="1" t="s">
        <v>159</v>
      </c>
      <c r="B102" s="4">
        <v>46037</v>
      </c>
      <c r="C102" s="1" t="s">
        <v>19</v>
      </c>
      <c r="D102" s="1" t="s">
        <v>54</v>
      </c>
      <c r="E102" s="5">
        <v>9000</v>
      </c>
      <c r="F102" s="1">
        <v>0</v>
      </c>
      <c r="G102" s="4">
        <v>46038</v>
      </c>
      <c r="H102" s="4">
        <v>46039</v>
      </c>
      <c r="I102" s="4">
        <v>46042</v>
      </c>
      <c r="J102" s="4"/>
      <c r="K102" s="1" t="s">
        <v>55</v>
      </c>
      <c r="L102" s="7">
        <f t="shared" si="6"/>
        <v>1</v>
      </c>
      <c r="M102" s="7">
        <f t="shared" si="7"/>
        <v>5</v>
      </c>
      <c r="N102" s="7">
        <f t="shared" si="8"/>
        <v>1</v>
      </c>
      <c r="O102" s="7">
        <f t="shared" si="9"/>
        <v>1</v>
      </c>
      <c r="P102" s="7">
        <f t="shared" si="10"/>
        <v>3</v>
      </c>
      <c r="Q102" s="7" t="str">
        <f>IF(K102="Open",Summary!$B$6-B102,"")</f>
        <v/>
      </c>
      <c r="R102" s="7">
        <f>IF(L102=1,IF(M102&lt;=Summary!$B$5,1,0),"")</f>
        <v>1</v>
      </c>
      <c r="S102" s="1" t="str">
        <f t="shared" si="11"/>
        <v>2026-01</v>
      </c>
    </row>
    <row r="103" spans="1:19" ht="23" customHeight="1">
      <c r="A103" s="1" t="s">
        <v>160</v>
      </c>
      <c r="B103" s="4">
        <v>46084</v>
      </c>
      <c r="C103" s="1" t="s">
        <v>19</v>
      </c>
      <c r="D103" s="1" t="s">
        <v>54</v>
      </c>
      <c r="E103" s="5">
        <v>25000</v>
      </c>
      <c r="F103" s="1">
        <v>1</v>
      </c>
      <c r="G103" s="4">
        <v>46093</v>
      </c>
      <c r="H103" s="4">
        <v>46098</v>
      </c>
      <c r="I103" s="4">
        <v>46099</v>
      </c>
      <c r="J103" s="4"/>
      <c r="K103" s="1" t="s">
        <v>55</v>
      </c>
      <c r="L103" s="7">
        <f t="shared" si="6"/>
        <v>1</v>
      </c>
      <c r="M103" s="7">
        <f t="shared" si="7"/>
        <v>15</v>
      </c>
      <c r="N103" s="7">
        <f t="shared" si="8"/>
        <v>9</v>
      </c>
      <c r="O103" s="7">
        <f t="shared" si="9"/>
        <v>5</v>
      </c>
      <c r="P103" s="7">
        <f t="shared" si="10"/>
        <v>1</v>
      </c>
      <c r="Q103" s="7" t="str">
        <f>IF(K103="Open",Summary!$B$6-B103,"")</f>
        <v/>
      </c>
      <c r="R103" s="7">
        <f>IF(L103=1,IF(M103&lt;=Summary!$B$5,1,0),"")</f>
        <v>0</v>
      </c>
      <c r="S103" s="1" t="str">
        <f t="shared" si="11"/>
        <v>2026-03</v>
      </c>
    </row>
    <row r="104" spans="1:19" ht="23" customHeight="1">
      <c r="A104" s="1" t="s">
        <v>161</v>
      </c>
      <c r="B104" s="4">
        <v>46092</v>
      </c>
      <c r="C104" s="1" t="s">
        <v>19</v>
      </c>
      <c r="D104" s="1" t="s">
        <v>54</v>
      </c>
      <c r="E104" s="5">
        <v>48000</v>
      </c>
      <c r="F104" s="1">
        <v>0</v>
      </c>
      <c r="G104" s="4">
        <v>46093</v>
      </c>
      <c r="H104" s="4">
        <v>46097</v>
      </c>
      <c r="I104" s="4">
        <v>46098</v>
      </c>
      <c r="J104" s="4"/>
      <c r="K104" s="1" t="s">
        <v>63</v>
      </c>
      <c r="L104" s="7">
        <f t="shared" si="6"/>
        <v>1</v>
      </c>
      <c r="M104" s="7">
        <f t="shared" si="7"/>
        <v>6</v>
      </c>
      <c r="N104" s="7">
        <f t="shared" si="8"/>
        <v>1</v>
      </c>
      <c r="O104" s="7">
        <f t="shared" si="9"/>
        <v>4</v>
      </c>
      <c r="P104" s="7">
        <f t="shared" si="10"/>
        <v>1</v>
      </c>
      <c r="Q104" s="7" t="str">
        <f>IF(K104="Open",Summary!$B$6-B104,"")</f>
        <v/>
      </c>
      <c r="R104" s="7">
        <f>IF(L104=1,IF(M104&lt;=Summary!$B$5,1,0),"")</f>
        <v>1</v>
      </c>
      <c r="S104" s="1" t="str">
        <f t="shared" si="11"/>
        <v>2026-03</v>
      </c>
    </row>
    <row r="105" spans="1:19" ht="23" customHeight="1">
      <c r="A105" s="1" t="s">
        <v>162</v>
      </c>
      <c r="B105" s="4">
        <v>46091</v>
      </c>
      <c r="C105" s="1" t="s">
        <v>19</v>
      </c>
      <c r="D105" s="1" t="s">
        <v>54</v>
      </c>
      <c r="E105" s="5">
        <v>35000</v>
      </c>
      <c r="F105" s="1">
        <v>0</v>
      </c>
      <c r="G105" s="4">
        <v>46091</v>
      </c>
      <c r="H105" s="4">
        <v>46094</v>
      </c>
      <c r="I105" s="4">
        <v>46097</v>
      </c>
      <c r="J105" s="4"/>
      <c r="K105" s="1" t="s">
        <v>55</v>
      </c>
      <c r="L105" s="7">
        <f t="shared" si="6"/>
        <v>1</v>
      </c>
      <c r="M105" s="7">
        <f t="shared" si="7"/>
        <v>6</v>
      </c>
      <c r="N105" s="7">
        <f t="shared" si="8"/>
        <v>0</v>
      </c>
      <c r="O105" s="7">
        <f t="shared" si="9"/>
        <v>3</v>
      </c>
      <c r="P105" s="7">
        <f t="shared" si="10"/>
        <v>3</v>
      </c>
      <c r="Q105" s="7" t="str">
        <f>IF(K105="Open",Summary!$B$6-B105,"")</f>
        <v/>
      </c>
      <c r="R105" s="7">
        <f>IF(L105=1,IF(M105&lt;=Summary!$B$5,1,0),"")</f>
        <v>1</v>
      </c>
      <c r="S105" s="1" t="str">
        <f t="shared" si="11"/>
        <v>2026-03</v>
      </c>
    </row>
    <row r="106" spans="1:19" ht="23" customHeight="1">
      <c r="A106" s="1" t="s">
        <v>163</v>
      </c>
      <c r="B106" s="4">
        <v>46071</v>
      </c>
      <c r="C106" s="1" t="s">
        <v>18</v>
      </c>
      <c r="D106" s="1" t="s">
        <v>71</v>
      </c>
      <c r="E106" s="5">
        <v>32000</v>
      </c>
      <c r="F106" s="1">
        <v>0</v>
      </c>
      <c r="G106" s="4">
        <v>46071</v>
      </c>
      <c r="H106" s="4">
        <v>46074</v>
      </c>
      <c r="I106" s="4">
        <v>46076</v>
      </c>
      <c r="J106" s="4"/>
      <c r="K106" s="1" t="s">
        <v>55</v>
      </c>
      <c r="L106" s="7">
        <f t="shared" si="6"/>
        <v>1</v>
      </c>
      <c r="M106" s="7">
        <f t="shared" si="7"/>
        <v>5</v>
      </c>
      <c r="N106" s="7">
        <f t="shared" si="8"/>
        <v>0</v>
      </c>
      <c r="O106" s="7">
        <f t="shared" si="9"/>
        <v>3</v>
      </c>
      <c r="P106" s="7">
        <f t="shared" si="10"/>
        <v>2</v>
      </c>
      <c r="Q106" s="7" t="str">
        <f>IF(K106="Open",Summary!$B$6-B106,"")</f>
        <v/>
      </c>
      <c r="R106" s="7">
        <f>IF(L106=1,IF(M106&lt;=Summary!$B$5,1,0),"")</f>
        <v>1</v>
      </c>
      <c r="S106" s="1" t="str">
        <f t="shared" si="11"/>
        <v>2026-02</v>
      </c>
    </row>
    <row r="107" spans="1:19" ht="23" customHeight="1">
      <c r="A107" s="1" t="s">
        <v>164</v>
      </c>
      <c r="B107" s="4">
        <v>46109</v>
      </c>
      <c r="C107" s="1" t="s">
        <v>19</v>
      </c>
      <c r="D107" s="1" t="s">
        <v>54</v>
      </c>
      <c r="E107" s="5">
        <v>31000</v>
      </c>
      <c r="F107" s="1">
        <v>1</v>
      </c>
      <c r="G107" s="4"/>
      <c r="H107" s="4"/>
      <c r="I107" s="4"/>
      <c r="J107" s="4"/>
      <c r="K107" s="1" t="s">
        <v>69</v>
      </c>
      <c r="L107" s="7">
        <f t="shared" si="6"/>
        <v>0</v>
      </c>
      <c r="M107" s="7" t="str">
        <f t="shared" si="7"/>
        <v/>
      </c>
      <c r="N107" s="7" t="str">
        <f t="shared" si="8"/>
        <v/>
      </c>
      <c r="O107" s="7" t="str">
        <f t="shared" si="9"/>
        <v/>
      </c>
      <c r="P107" s="7" t="str">
        <f t="shared" si="10"/>
        <v/>
      </c>
      <c r="Q107" s="7">
        <f>IF(K107="Open",Summary!$B$6-B107,"")</f>
        <v>3</v>
      </c>
      <c r="R107" s="7" t="str">
        <f>IF(L107=1,IF(M107&lt;=Summary!$B$5,1,0),"")</f>
        <v/>
      </c>
      <c r="S107" s="1" t="str">
        <f t="shared" si="11"/>
        <v>2026-03</v>
      </c>
    </row>
    <row r="108" spans="1:19" ht="23" customHeight="1">
      <c r="A108" s="1" t="s">
        <v>165</v>
      </c>
      <c r="B108" s="4">
        <v>46079</v>
      </c>
      <c r="C108" s="1" t="s">
        <v>19</v>
      </c>
      <c r="D108" s="1" t="s">
        <v>54</v>
      </c>
      <c r="E108" s="5">
        <v>9000</v>
      </c>
      <c r="F108" s="1">
        <v>0</v>
      </c>
      <c r="G108" s="4">
        <v>46081</v>
      </c>
      <c r="H108" s="4">
        <v>46083</v>
      </c>
      <c r="I108" s="4">
        <v>46086</v>
      </c>
      <c r="J108" s="4"/>
      <c r="K108" s="1" t="s">
        <v>55</v>
      </c>
      <c r="L108" s="7">
        <f t="shared" si="6"/>
        <v>1</v>
      </c>
      <c r="M108" s="7">
        <f t="shared" si="7"/>
        <v>7</v>
      </c>
      <c r="N108" s="7">
        <f t="shared" si="8"/>
        <v>2</v>
      </c>
      <c r="O108" s="7">
        <f t="shared" si="9"/>
        <v>2</v>
      </c>
      <c r="P108" s="7">
        <f t="shared" si="10"/>
        <v>3</v>
      </c>
      <c r="Q108" s="7" t="str">
        <f>IF(K108="Open",Summary!$B$6-B108,"")</f>
        <v/>
      </c>
      <c r="R108" s="7">
        <f>IF(L108=1,IF(M108&lt;=Summary!$B$5,1,0),"")</f>
        <v>1</v>
      </c>
      <c r="S108" s="1" t="str">
        <f t="shared" si="11"/>
        <v>2026-02</v>
      </c>
    </row>
    <row r="109" spans="1:19" ht="23" customHeight="1">
      <c r="A109" s="1" t="s">
        <v>166</v>
      </c>
      <c r="B109" s="4">
        <v>46101</v>
      </c>
      <c r="C109" s="1" t="s">
        <v>18</v>
      </c>
      <c r="D109" s="1" t="s">
        <v>59</v>
      </c>
      <c r="E109" s="5">
        <v>33000</v>
      </c>
      <c r="F109" s="1">
        <v>1</v>
      </c>
      <c r="G109" s="4">
        <v>46111</v>
      </c>
      <c r="H109" s="4"/>
      <c r="I109" s="4"/>
      <c r="J109" s="4"/>
      <c r="K109" s="1" t="s">
        <v>69</v>
      </c>
      <c r="L109" s="7">
        <f t="shared" si="6"/>
        <v>0</v>
      </c>
      <c r="M109" s="7" t="str">
        <f t="shared" si="7"/>
        <v/>
      </c>
      <c r="N109" s="7" t="str">
        <f t="shared" si="8"/>
        <v/>
      </c>
      <c r="O109" s="7" t="str">
        <f t="shared" si="9"/>
        <v/>
      </c>
      <c r="P109" s="7" t="str">
        <f t="shared" si="10"/>
        <v/>
      </c>
      <c r="Q109" s="7">
        <f>IF(K109="Open",Summary!$B$6-B109,"")</f>
        <v>11</v>
      </c>
      <c r="R109" s="7" t="str">
        <f>IF(L109=1,IF(M109&lt;=Summary!$B$5,1,0),"")</f>
        <v/>
      </c>
      <c r="S109" s="1" t="str">
        <f t="shared" si="11"/>
        <v>2026-03</v>
      </c>
    </row>
    <row r="110" spans="1:19" ht="23" customHeight="1">
      <c r="A110" s="1" t="s">
        <v>167</v>
      </c>
      <c r="B110" s="4">
        <v>46093</v>
      </c>
      <c r="C110" s="1" t="s">
        <v>19</v>
      </c>
      <c r="D110" s="1" t="s">
        <v>54</v>
      </c>
      <c r="E110" s="5">
        <v>16000</v>
      </c>
      <c r="F110" s="1">
        <v>1</v>
      </c>
      <c r="G110" s="4">
        <v>46099</v>
      </c>
      <c r="H110" s="4">
        <v>46104</v>
      </c>
      <c r="I110" s="4">
        <v>46107</v>
      </c>
      <c r="J110" s="4"/>
      <c r="K110" s="1" t="s">
        <v>55</v>
      </c>
      <c r="L110" s="7">
        <f t="shared" si="6"/>
        <v>1</v>
      </c>
      <c r="M110" s="7">
        <f t="shared" si="7"/>
        <v>14</v>
      </c>
      <c r="N110" s="7">
        <f t="shared" si="8"/>
        <v>6</v>
      </c>
      <c r="O110" s="7">
        <f t="shared" si="9"/>
        <v>5</v>
      </c>
      <c r="P110" s="7">
        <f t="shared" si="10"/>
        <v>3</v>
      </c>
      <c r="Q110" s="7" t="str">
        <f>IF(K110="Open",Summary!$B$6-B110,"")</f>
        <v/>
      </c>
      <c r="R110" s="7">
        <f>IF(L110=1,IF(M110&lt;=Summary!$B$5,1,0),"")</f>
        <v>0</v>
      </c>
      <c r="S110" s="1" t="str">
        <f t="shared" si="11"/>
        <v>2026-03</v>
      </c>
    </row>
    <row r="111" spans="1:19" ht="23" customHeight="1">
      <c r="A111" s="1" t="s">
        <v>168</v>
      </c>
      <c r="B111" s="4">
        <v>46039</v>
      </c>
      <c r="C111" s="1" t="s">
        <v>19</v>
      </c>
      <c r="D111" s="1" t="s">
        <v>54</v>
      </c>
      <c r="E111" s="5">
        <v>42000</v>
      </c>
      <c r="F111" s="1">
        <v>0</v>
      </c>
      <c r="G111" s="4">
        <v>46041</v>
      </c>
      <c r="H111" s="4">
        <v>46045</v>
      </c>
      <c r="I111" s="4">
        <v>46048</v>
      </c>
      <c r="J111" s="4"/>
      <c r="K111" s="1" t="s">
        <v>55</v>
      </c>
      <c r="L111" s="7">
        <f t="shared" si="6"/>
        <v>1</v>
      </c>
      <c r="M111" s="7">
        <f t="shared" si="7"/>
        <v>9</v>
      </c>
      <c r="N111" s="7">
        <f t="shared" si="8"/>
        <v>2</v>
      </c>
      <c r="O111" s="7">
        <f t="shared" si="9"/>
        <v>4</v>
      </c>
      <c r="P111" s="7">
        <f t="shared" si="10"/>
        <v>3</v>
      </c>
      <c r="Q111" s="7" t="str">
        <f>IF(K111="Open",Summary!$B$6-B111,"")</f>
        <v/>
      </c>
      <c r="R111" s="7">
        <f>IF(L111=1,IF(M111&lt;=Summary!$B$5,1,0),"")</f>
        <v>0</v>
      </c>
      <c r="S111" s="1" t="str">
        <f t="shared" si="11"/>
        <v>2026-01</v>
      </c>
    </row>
    <row r="112" spans="1:19" ht="23" customHeight="1">
      <c r="A112" s="1" t="s">
        <v>169</v>
      </c>
      <c r="B112" s="4">
        <v>46073</v>
      </c>
      <c r="C112" s="1" t="s">
        <v>19</v>
      </c>
      <c r="D112" s="1" t="s">
        <v>54</v>
      </c>
      <c r="E112" s="5">
        <v>40000</v>
      </c>
      <c r="F112" s="1">
        <v>0</v>
      </c>
      <c r="G112" s="4">
        <v>46073</v>
      </c>
      <c r="H112" s="4">
        <v>46078</v>
      </c>
      <c r="I112" s="4">
        <v>46079</v>
      </c>
      <c r="J112" s="4"/>
      <c r="K112" s="1" t="s">
        <v>55</v>
      </c>
      <c r="L112" s="7">
        <f t="shared" si="6"/>
        <v>1</v>
      </c>
      <c r="M112" s="7">
        <f t="shared" si="7"/>
        <v>6</v>
      </c>
      <c r="N112" s="7">
        <f t="shared" si="8"/>
        <v>0</v>
      </c>
      <c r="O112" s="7">
        <f t="shared" si="9"/>
        <v>5</v>
      </c>
      <c r="P112" s="7">
        <f t="shared" si="10"/>
        <v>1</v>
      </c>
      <c r="Q112" s="7" t="str">
        <f>IF(K112="Open",Summary!$B$6-B112,"")</f>
        <v/>
      </c>
      <c r="R112" s="7">
        <f>IF(L112=1,IF(M112&lt;=Summary!$B$5,1,0),"")</f>
        <v>1</v>
      </c>
      <c r="S112" s="1" t="str">
        <f t="shared" si="11"/>
        <v>2026-02</v>
      </c>
    </row>
    <row r="113" spans="1:19" ht="23" customHeight="1">
      <c r="A113" s="1" t="s">
        <v>170</v>
      </c>
      <c r="B113" s="4">
        <v>46023</v>
      </c>
      <c r="C113" s="1" t="s">
        <v>19</v>
      </c>
      <c r="D113" s="1" t="s">
        <v>54</v>
      </c>
      <c r="E113" s="5">
        <v>27000</v>
      </c>
      <c r="F113" s="1">
        <v>0</v>
      </c>
      <c r="G113" s="4">
        <v>46024</v>
      </c>
      <c r="H113" s="4">
        <v>46026</v>
      </c>
      <c r="I113" s="4">
        <v>46028</v>
      </c>
      <c r="J113" s="4"/>
      <c r="K113" s="1" t="s">
        <v>63</v>
      </c>
      <c r="L113" s="7">
        <f t="shared" si="6"/>
        <v>1</v>
      </c>
      <c r="M113" s="7">
        <f t="shared" si="7"/>
        <v>5</v>
      </c>
      <c r="N113" s="7">
        <f t="shared" si="8"/>
        <v>1</v>
      </c>
      <c r="O113" s="7">
        <f t="shared" si="9"/>
        <v>2</v>
      </c>
      <c r="P113" s="7">
        <f t="shared" si="10"/>
        <v>2</v>
      </c>
      <c r="Q113" s="7" t="str">
        <f>IF(K113="Open",Summary!$B$6-B113,"")</f>
        <v/>
      </c>
      <c r="R113" s="7">
        <f>IF(L113=1,IF(M113&lt;=Summary!$B$5,1,0),"")</f>
        <v>1</v>
      </c>
      <c r="S113" s="1" t="str">
        <f t="shared" si="11"/>
        <v>2026-01</v>
      </c>
    </row>
    <row r="114" spans="1:19" ht="23" customHeight="1">
      <c r="A114" s="1" t="s">
        <v>171</v>
      </c>
      <c r="B114" s="4">
        <v>46027</v>
      </c>
      <c r="C114" s="1" t="s">
        <v>18</v>
      </c>
      <c r="D114" s="1" t="s">
        <v>62</v>
      </c>
      <c r="E114" s="5">
        <v>35000</v>
      </c>
      <c r="F114" s="1">
        <v>1</v>
      </c>
      <c r="G114" s="4">
        <v>46034</v>
      </c>
      <c r="H114" s="4">
        <v>46042</v>
      </c>
      <c r="I114" s="4">
        <v>46045</v>
      </c>
      <c r="J114" s="4"/>
      <c r="K114" s="1" t="s">
        <v>63</v>
      </c>
      <c r="L114" s="7">
        <f t="shared" si="6"/>
        <v>1</v>
      </c>
      <c r="M114" s="7">
        <f t="shared" si="7"/>
        <v>18</v>
      </c>
      <c r="N114" s="7">
        <f t="shared" si="8"/>
        <v>7</v>
      </c>
      <c r="O114" s="7">
        <f t="shared" si="9"/>
        <v>8</v>
      </c>
      <c r="P114" s="7">
        <f t="shared" si="10"/>
        <v>3</v>
      </c>
      <c r="Q114" s="7" t="str">
        <f>IF(K114="Open",Summary!$B$6-B114,"")</f>
        <v/>
      </c>
      <c r="R114" s="7">
        <f>IF(L114=1,IF(M114&lt;=Summary!$B$5,1,0),"")</f>
        <v>0</v>
      </c>
      <c r="S114" s="1" t="str">
        <f t="shared" si="11"/>
        <v>2026-01</v>
      </c>
    </row>
    <row r="115" spans="1:19" ht="23" customHeight="1">
      <c r="A115" s="1" t="s">
        <v>172</v>
      </c>
      <c r="B115" s="4">
        <v>46070</v>
      </c>
      <c r="C115" s="1" t="s">
        <v>19</v>
      </c>
      <c r="D115" s="1" t="s">
        <v>54</v>
      </c>
      <c r="E115" s="5">
        <v>16000</v>
      </c>
      <c r="F115" s="1">
        <v>0</v>
      </c>
      <c r="G115" s="4">
        <v>46070</v>
      </c>
      <c r="H115" s="4">
        <v>46072</v>
      </c>
      <c r="I115" s="4">
        <v>46075</v>
      </c>
      <c r="J115" s="4"/>
      <c r="K115" s="1" t="s">
        <v>55</v>
      </c>
      <c r="L115" s="7">
        <f t="shared" si="6"/>
        <v>1</v>
      </c>
      <c r="M115" s="7">
        <f t="shared" si="7"/>
        <v>5</v>
      </c>
      <c r="N115" s="7">
        <f t="shared" si="8"/>
        <v>0</v>
      </c>
      <c r="O115" s="7">
        <f t="shared" si="9"/>
        <v>2</v>
      </c>
      <c r="P115" s="7">
        <f t="shared" si="10"/>
        <v>3</v>
      </c>
      <c r="Q115" s="7" t="str">
        <f>IF(K115="Open",Summary!$B$6-B115,"")</f>
        <v/>
      </c>
      <c r="R115" s="7">
        <f>IF(L115=1,IF(M115&lt;=Summary!$B$5,1,0),"")</f>
        <v>1</v>
      </c>
      <c r="S115" s="1" t="str">
        <f t="shared" si="11"/>
        <v>2026-02</v>
      </c>
    </row>
    <row r="116" spans="1:19" ht="23" customHeight="1">
      <c r="A116" s="1" t="s">
        <v>173</v>
      </c>
      <c r="B116" s="4">
        <v>46076</v>
      </c>
      <c r="C116" s="1" t="s">
        <v>19</v>
      </c>
      <c r="D116" s="1" t="s">
        <v>54</v>
      </c>
      <c r="E116" s="5">
        <v>8000</v>
      </c>
      <c r="F116" s="1">
        <v>0</v>
      </c>
      <c r="G116" s="4">
        <v>46076</v>
      </c>
      <c r="H116" s="4">
        <v>46082</v>
      </c>
      <c r="I116" s="4">
        <v>46084</v>
      </c>
      <c r="J116" s="4"/>
      <c r="K116" s="1" t="s">
        <v>55</v>
      </c>
      <c r="L116" s="7">
        <f t="shared" si="6"/>
        <v>1</v>
      </c>
      <c r="M116" s="7">
        <f t="shared" si="7"/>
        <v>8</v>
      </c>
      <c r="N116" s="7">
        <f t="shared" si="8"/>
        <v>0</v>
      </c>
      <c r="O116" s="7">
        <f t="shared" si="9"/>
        <v>6</v>
      </c>
      <c r="P116" s="7">
        <f t="shared" si="10"/>
        <v>2</v>
      </c>
      <c r="Q116" s="7" t="str">
        <f>IF(K116="Open",Summary!$B$6-B116,"")</f>
        <v/>
      </c>
      <c r="R116" s="7">
        <f>IF(L116=1,IF(M116&lt;=Summary!$B$5,1,0),"")</f>
        <v>0</v>
      </c>
      <c r="S116" s="1" t="str">
        <f t="shared" si="11"/>
        <v>2026-02</v>
      </c>
    </row>
    <row r="117" spans="1:19" ht="23" customHeight="1">
      <c r="A117" s="1" t="s">
        <v>174</v>
      </c>
      <c r="B117" s="4">
        <v>46067</v>
      </c>
      <c r="C117" s="1" t="s">
        <v>19</v>
      </c>
      <c r="D117" s="1" t="s">
        <v>54</v>
      </c>
      <c r="E117" s="5">
        <v>19000</v>
      </c>
      <c r="F117" s="1">
        <v>0</v>
      </c>
      <c r="G117" s="4">
        <v>46069</v>
      </c>
      <c r="H117" s="4">
        <v>46071</v>
      </c>
      <c r="I117" s="4">
        <v>46072</v>
      </c>
      <c r="J117" s="4"/>
      <c r="K117" s="1" t="s">
        <v>55</v>
      </c>
      <c r="L117" s="7">
        <f t="shared" si="6"/>
        <v>1</v>
      </c>
      <c r="M117" s="7">
        <f t="shared" si="7"/>
        <v>5</v>
      </c>
      <c r="N117" s="7">
        <f t="shared" si="8"/>
        <v>2</v>
      </c>
      <c r="O117" s="7">
        <f t="shared" si="9"/>
        <v>2</v>
      </c>
      <c r="P117" s="7">
        <f t="shared" si="10"/>
        <v>1</v>
      </c>
      <c r="Q117" s="7" t="str">
        <f>IF(K117="Open",Summary!$B$6-B117,"")</f>
        <v/>
      </c>
      <c r="R117" s="7">
        <f>IF(L117=1,IF(M117&lt;=Summary!$B$5,1,0),"")</f>
        <v>1</v>
      </c>
      <c r="S117" s="1" t="str">
        <f t="shared" si="11"/>
        <v>2026-02</v>
      </c>
    </row>
    <row r="118" spans="1:19" ht="23" customHeight="1">
      <c r="A118" s="1" t="s">
        <v>175</v>
      </c>
      <c r="B118" s="4">
        <v>46107</v>
      </c>
      <c r="C118" s="1" t="s">
        <v>19</v>
      </c>
      <c r="D118" s="1" t="s">
        <v>54</v>
      </c>
      <c r="E118" s="5">
        <v>41000</v>
      </c>
      <c r="F118" s="1">
        <v>1</v>
      </c>
      <c r="G118" s="4"/>
      <c r="H118" s="4"/>
      <c r="I118" s="4"/>
      <c r="J118" s="4"/>
      <c r="K118" s="1" t="s">
        <v>69</v>
      </c>
      <c r="L118" s="7">
        <f t="shared" si="6"/>
        <v>0</v>
      </c>
      <c r="M118" s="7" t="str">
        <f t="shared" si="7"/>
        <v/>
      </c>
      <c r="N118" s="7" t="str">
        <f t="shared" si="8"/>
        <v/>
      </c>
      <c r="O118" s="7" t="str">
        <f t="shared" si="9"/>
        <v/>
      </c>
      <c r="P118" s="7" t="str">
        <f t="shared" si="10"/>
        <v/>
      </c>
      <c r="Q118" s="7">
        <f>IF(K118="Open",Summary!$B$6-B118,"")</f>
        <v>5</v>
      </c>
      <c r="R118" s="7" t="str">
        <f>IF(L118=1,IF(M118&lt;=Summary!$B$5,1,0),"")</f>
        <v/>
      </c>
      <c r="S118" s="1" t="str">
        <f t="shared" si="11"/>
        <v>2026-03</v>
      </c>
    </row>
    <row r="119" spans="1:19" ht="23" customHeight="1">
      <c r="A119" s="1" t="s">
        <v>176</v>
      </c>
      <c r="B119" s="4">
        <v>46027</v>
      </c>
      <c r="C119" s="1" t="s">
        <v>18</v>
      </c>
      <c r="D119" s="1" t="s">
        <v>59</v>
      </c>
      <c r="E119" s="5">
        <v>30000</v>
      </c>
      <c r="F119" s="1">
        <v>0</v>
      </c>
      <c r="G119" s="4">
        <v>46027</v>
      </c>
      <c r="H119" s="4">
        <v>46033</v>
      </c>
      <c r="I119" s="4">
        <v>46036</v>
      </c>
      <c r="J119" s="4"/>
      <c r="K119" s="1" t="s">
        <v>55</v>
      </c>
      <c r="L119" s="7">
        <f t="shared" si="6"/>
        <v>1</v>
      </c>
      <c r="M119" s="7">
        <f t="shared" si="7"/>
        <v>9</v>
      </c>
      <c r="N119" s="7">
        <f t="shared" si="8"/>
        <v>0</v>
      </c>
      <c r="O119" s="7">
        <f t="shared" si="9"/>
        <v>6</v>
      </c>
      <c r="P119" s="7">
        <f t="shared" si="10"/>
        <v>3</v>
      </c>
      <c r="Q119" s="7" t="str">
        <f>IF(K119="Open",Summary!$B$6-B119,"")</f>
        <v/>
      </c>
      <c r="R119" s="7">
        <f>IF(L119=1,IF(M119&lt;=Summary!$B$5,1,0),"")</f>
        <v>0</v>
      </c>
      <c r="S119" s="1" t="str">
        <f t="shared" si="11"/>
        <v>2026-01</v>
      </c>
    </row>
    <row r="120" spans="1:19" ht="23" customHeight="1">
      <c r="A120" s="1" t="s">
        <v>177</v>
      </c>
      <c r="B120" s="4">
        <v>46040</v>
      </c>
      <c r="C120" s="1" t="s">
        <v>18</v>
      </c>
      <c r="D120" s="1" t="s">
        <v>71</v>
      </c>
      <c r="E120" s="5">
        <v>5000</v>
      </c>
      <c r="F120" s="1">
        <v>1</v>
      </c>
      <c r="G120" s="4">
        <v>46047</v>
      </c>
      <c r="H120" s="4">
        <v>46051</v>
      </c>
      <c r="I120" s="4">
        <v>46052</v>
      </c>
      <c r="J120" s="4"/>
      <c r="K120" s="1" t="s">
        <v>55</v>
      </c>
      <c r="L120" s="7">
        <f t="shared" si="6"/>
        <v>1</v>
      </c>
      <c r="M120" s="7">
        <f t="shared" si="7"/>
        <v>12</v>
      </c>
      <c r="N120" s="7">
        <f t="shared" si="8"/>
        <v>7</v>
      </c>
      <c r="O120" s="7">
        <f t="shared" si="9"/>
        <v>4</v>
      </c>
      <c r="P120" s="7">
        <f t="shared" si="10"/>
        <v>1</v>
      </c>
      <c r="Q120" s="7" t="str">
        <f>IF(K120="Open",Summary!$B$6-B120,"")</f>
        <v/>
      </c>
      <c r="R120" s="7">
        <f>IF(L120=1,IF(M120&lt;=Summary!$B$5,1,0),"")</f>
        <v>0</v>
      </c>
      <c r="S120" s="1" t="str">
        <f t="shared" si="11"/>
        <v>2026-01</v>
      </c>
    </row>
    <row r="121" spans="1:19" ht="23" customHeight="1">
      <c r="A121" s="1" t="s">
        <v>178</v>
      </c>
      <c r="B121" s="4">
        <v>46111</v>
      </c>
      <c r="C121" s="1" t="s">
        <v>19</v>
      </c>
      <c r="D121" s="1" t="s">
        <v>54</v>
      </c>
      <c r="E121" s="5">
        <v>46000</v>
      </c>
      <c r="F121" s="1">
        <v>0</v>
      </c>
      <c r="G121" s="4">
        <v>46111</v>
      </c>
      <c r="H121" s="4"/>
      <c r="I121" s="4"/>
      <c r="J121" s="4"/>
      <c r="K121" s="1" t="s">
        <v>69</v>
      </c>
      <c r="L121" s="7">
        <f t="shared" si="6"/>
        <v>0</v>
      </c>
      <c r="M121" s="7" t="str">
        <f t="shared" si="7"/>
        <v/>
      </c>
      <c r="N121" s="7" t="str">
        <f t="shared" si="8"/>
        <v/>
      </c>
      <c r="O121" s="7" t="str">
        <f t="shared" si="9"/>
        <v/>
      </c>
      <c r="P121" s="7" t="str">
        <f t="shared" si="10"/>
        <v/>
      </c>
      <c r="Q121" s="7">
        <f>IF(K121="Open",Summary!$B$6-B121,"")</f>
        <v>1</v>
      </c>
      <c r="R121" s="7" t="str">
        <f>IF(L121=1,IF(M121&lt;=Summary!$B$5,1,0),"")</f>
        <v/>
      </c>
      <c r="S121" s="1" t="str">
        <f t="shared" si="11"/>
        <v>2026-03</v>
      </c>
    </row>
    <row r="122" spans="1:19" ht="23" customHeight="1">
      <c r="A122" s="1" t="s">
        <v>179</v>
      </c>
      <c r="B122" s="4">
        <v>46034</v>
      </c>
      <c r="C122" s="1" t="s">
        <v>19</v>
      </c>
      <c r="D122" s="1" t="s">
        <v>54</v>
      </c>
      <c r="E122" s="5">
        <v>5000</v>
      </c>
      <c r="F122" s="1">
        <v>0</v>
      </c>
      <c r="G122" s="4">
        <v>46034</v>
      </c>
      <c r="H122" s="4">
        <v>46037</v>
      </c>
      <c r="I122" s="4">
        <v>46040</v>
      </c>
      <c r="J122" s="4"/>
      <c r="K122" s="1" t="s">
        <v>55</v>
      </c>
      <c r="L122" s="7">
        <f t="shared" si="6"/>
        <v>1</v>
      </c>
      <c r="M122" s="7">
        <f t="shared" si="7"/>
        <v>6</v>
      </c>
      <c r="N122" s="7">
        <f t="shared" si="8"/>
        <v>0</v>
      </c>
      <c r="O122" s="7">
        <f t="shared" si="9"/>
        <v>3</v>
      </c>
      <c r="P122" s="7">
        <f t="shared" si="10"/>
        <v>3</v>
      </c>
      <c r="Q122" s="7" t="str">
        <f>IF(K122="Open",Summary!$B$6-B122,"")</f>
        <v/>
      </c>
      <c r="R122" s="7">
        <f>IF(L122=1,IF(M122&lt;=Summary!$B$5,1,0),"")</f>
        <v>1</v>
      </c>
      <c r="S122" s="1" t="str">
        <f t="shared" si="11"/>
        <v>2026-01</v>
      </c>
    </row>
    <row r="123" spans="1:19" ht="23" customHeight="1">
      <c r="A123" s="1" t="s">
        <v>180</v>
      </c>
      <c r="B123" s="4">
        <v>46069</v>
      </c>
      <c r="C123" s="1" t="s">
        <v>18</v>
      </c>
      <c r="D123" s="1" t="s">
        <v>62</v>
      </c>
      <c r="E123" s="5">
        <v>22000</v>
      </c>
      <c r="F123" s="1">
        <v>1</v>
      </c>
      <c r="G123" s="4">
        <v>46073</v>
      </c>
      <c r="H123" s="4">
        <v>46078</v>
      </c>
      <c r="I123" s="4">
        <v>46080</v>
      </c>
      <c r="J123" s="4"/>
      <c r="K123" s="1" t="s">
        <v>63</v>
      </c>
      <c r="L123" s="7">
        <f t="shared" si="6"/>
        <v>1</v>
      </c>
      <c r="M123" s="7">
        <f t="shared" si="7"/>
        <v>11</v>
      </c>
      <c r="N123" s="7">
        <f t="shared" si="8"/>
        <v>4</v>
      </c>
      <c r="O123" s="7">
        <f t="shared" si="9"/>
        <v>5</v>
      </c>
      <c r="P123" s="7">
        <f t="shared" si="10"/>
        <v>2</v>
      </c>
      <c r="Q123" s="7" t="str">
        <f>IF(K123="Open",Summary!$B$6-B123,"")</f>
        <v/>
      </c>
      <c r="R123" s="7">
        <f>IF(L123=1,IF(M123&lt;=Summary!$B$5,1,0),"")</f>
        <v>0</v>
      </c>
      <c r="S123" s="1" t="str">
        <f t="shared" si="11"/>
        <v>2026-02</v>
      </c>
    </row>
    <row r="124" spans="1:19" ht="23" customHeight="1">
      <c r="A124" s="1" t="s">
        <v>181</v>
      </c>
      <c r="B124" s="4">
        <v>46026</v>
      </c>
      <c r="C124" s="1" t="s">
        <v>18</v>
      </c>
      <c r="D124" s="1" t="s">
        <v>71</v>
      </c>
      <c r="E124" s="5">
        <v>5000</v>
      </c>
      <c r="F124" s="1">
        <v>1</v>
      </c>
      <c r="G124" s="4"/>
      <c r="H124" s="4"/>
      <c r="I124" s="4"/>
      <c r="J124" s="4">
        <v>46031</v>
      </c>
      <c r="K124" s="1" t="s">
        <v>86</v>
      </c>
      <c r="L124" s="7">
        <f t="shared" si="6"/>
        <v>0</v>
      </c>
      <c r="M124" s="7" t="str">
        <f t="shared" si="7"/>
        <v/>
      </c>
      <c r="N124" s="7" t="str">
        <f t="shared" si="8"/>
        <v/>
      </c>
      <c r="O124" s="7" t="str">
        <f t="shared" si="9"/>
        <v/>
      </c>
      <c r="P124" s="7" t="str">
        <f t="shared" si="10"/>
        <v/>
      </c>
      <c r="Q124" s="7" t="str">
        <f>IF(K124="Open",Summary!$B$6-B124,"")</f>
        <v/>
      </c>
      <c r="R124" s="7" t="str">
        <f>IF(L124=1,IF(M124&lt;=Summary!$B$5,1,0),"")</f>
        <v/>
      </c>
      <c r="S124" s="1" t="str">
        <f t="shared" si="11"/>
        <v>2026-01</v>
      </c>
    </row>
    <row r="125" spans="1:19" ht="23" customHeight="1">
      <c r="A125" s="1" t="s">
        <v>182</v>
      </c>
      <c r="B125" s="4">
        <v>46059</v>
      </c>
      <c r="C125" s="1" t="s">
        <v>19</v>
      </c>
      <c r="D125" s="1" t="s">
        <v>54</v>
      </c>
      <c r="E125" s="5">
        <v>18000</v>
      </c>
      <c r="F125" s="1">
        <v>1</v>
      </c>
      <c r="G125" s="4">
        <v>46063</v>
      </c>
      <c r="H125" s="4">
        <v>46067</v>
      </c>
      <c r="I125" s="4">
        <v>46070</v>
      </c>
      <c r="J125" s="4"/>
      <c r="K125" s="1" t="s">
        <v>63</v>
      </c>
      <c r="L125" s="7">
        <f t="shared" si="6"/>
        <v>1</v>
      </c>
      <c r="M125" s="7">
        <f t="shared" si="7"/>
        <v>11</v>
      </c>
      <c r="N125" s="7">
        <f t="shared" si="8"/>
        <v>4</v>
      </c>
      <c r="O125" s="7">
        <f t="shared" si="9"/>
        <v>4</v>
      </c>
      <c r="P125" s="7">
        <f t="shared" si="10"/>
        <v>3</v>
      </c>
      <c r="Q125" s="7" t="str">
        <f>IF(K125="Open",Summary!$B$6-B125,"")</f>
        <v/>
      </c>
      <c r="R125" s="7">
        <f>IF(L125=1,IF(M125&lt;=Summary!$B$5,1,0),"")</f>
        <v>0</v>
      </c>
      <c r="S125" s="1" t="str">
        <f t="shared" si="11"/>
        <v>2026-02</v>
      </c>
    </row>
    <row r="126" spans="1:19" ht="23" customHeight="1">
      <c r="A126" s="1" t="s">
        <v>183</v>
      </c>
      <c r="B126" s="4">
        <v>46062</v>
      </c>
      <c r="C126" s="1" t="s">
        <v>18</v>
      </c>
      <c r="D126" s="1" t="s">
        <v>65</v>
      </c>
      <c r="E126" s="5">
        <v>38000</v>
      </c>
      <c r="F126" s="1">
        <v>0</v>
      </c>
      <c r="G126" s="4">
        <v>46063</v>
      </c>
      <c r="H126" s="4">
        <v>46065</v>
      </c>
      <c r="I126" s="4">
        <v>46068</v>
      </c>
      <c r="J126" s="4"/>
      <c r="K126" s="1" t="s">
        <v>55</v>
      </c>
      <c r="L126" s="7">
        <f t="shared" si="6"/>
        <v>1</v>
      </c>
      <c r="M126" s="7">
        <f t="shared" si="7"/>
        <v>6</v>
      </c>
      <c r="N126" s="7">
        <f t="shared" si="8"/>
        <v>1</v>
      </c>
      <c r="O126" s="7">
        <f t="shared" si="9"/>
        <v>2</v>
      </c>
      <c r="P126" s="7">
        <f t="shared" si="10"/>
        <v>3</v>
      </c>
      <c r="Q126" s="7" t="str">
        <f>IF(K126="Open",Summary!$B$6-B126,"")</f>
        <v/>
      </c>
      <c r="R126" s="7">
        <f>IF(L126=1,IF(M126&lt;=Summary!$B$5,1,0),"")</f>
        <v>1</v>
      </c>
      <c r="S126" s="1" t="str">
        <f t="shared" si="11"/>
        <v>2026-02</v>
      </c>
    </row>
    <row r="127" spans="1:19" ht="23" customHeight="1">
      <c r="A127" s="1" t="s">
        <v>184</v>
      </c>
      <c r="B127" s="4">
        <v>46027</v>
      </c>
      <c r="C127" s="1" t="s">
        <v>18</v>
      </c>
      <c r="D127" s="1" t="s">
        <v>71</v>
      </c>
      <c r="E127" s="5">
        <v>29000</v>
      </c>
      <c r="F127" s="1">
        <v>0</v>
      </c>
      <c r="G127" s="4">
        <v>46027</v>
      </c>
      <c r="H127" s="4">
        <v>46031</v>
      </c>
      <c r="I127" s="4">
        <v>46034</v>
      </c>
      <c r="J127" s="4"/>
      <c r="K127" s="1" t="s">
        <v>55</v>
      </c>
      <c r="L127" s="7">
        <f t="shared" si="6"/>
        <v>1</v>
      </c>
      <c r="M127" s="7">
        <f t="shared" si="7"/>
        <v>7</v>
      </c>
      <c r="N127" s="7">
        <f t="shared" si="8"/>
        <v>0</v>
      </c>
      <c r="O127" s="7">
        <f t="shared" si="9"/>
        <v>4</v>
      </c>
      <c r="P127" s="7">
        <f t="shared" si="10"/>
        <v>3</v>
      </c>
      <c r="Q127" s="7" t="str">
        <f>IF(K127="Open",Summary!$B$6-B127,"")</f>
        <v/>
      </c>
      <c r="R127" s="7">
        <f>IF(L127=1,IF(M127&lt;=Summary!$B$5,1,0),"")</f>
        <v>1</v>
      </c>
      <c r="S127" s="1" t="str">
        <f t="shared" si="11"/>
        <v>2026-01</v>
      </c>
    </row>
    <row r="128" spans="1:19" ht="23" customHeight="1">
      <c r="A128" s="1" t="s">
        <v>185</v>
      </c>
      <c r="B128" s="4">
        <v>46053</v>
      </c>
      <c r="C128" s="1" t="s">
        <v>18</v>
      </c>
      <c r="D128" s="1" t="s">
        <v>62</v>
      </c>
      <c r="E128" s="5">
        <v>6000</v>
      </c>
      <c r="F128" s="1">
        <v>0</v>
      </c>
      <c r="G128" s="4">
        <v>46055</v>
      </c>
      <c r="H128" s="4">
        <v>46059</v>
      </c>
      <c r="I128" s="4">
        <v>46062</v>
      </c>
      <c r="J128" s="4"/>
      <c r="K128" s="1" t="s">
        <v>63</v>
      </c>
      <c r="L128" s="7">
        <f t="shared" si="6"/>
        <v>1</v>
      </c>
      <c r="M128" s="7">
        <f t="shared" si="7"/>
        <v>9</v>
      </c>
      <c r="N128" s="7">
        <f t="shared" si="8"/>
        <v>2</v>
      </c>
      <c r="O128" s="7">
        <f t="shared" si="9"/>
        <v>4</v>
      </c>
      <c r="P128" s="7">
        <f t="shared" si="10"/>
        <v>3</v>
      </c>
      <c r="Q128" s="7" t="str">
        <f>IF(K128="Open",Summary!$B$6-B128,"")</f>
        <v/>
      </c>
      <c r="R128" s="7">
        <f>IF(L128=1,IF(M128&lt;=Summary!$B$5,1,0),"")</f>
        <v>0</v>
      </c>
      <c r="S128" s="1" t="str">
        <f t="shared" si="11"/>
        <v>2026-01</v>
      </c>
    </row>
    <row r="129" spans="1:19" ht="23" customHeight="1">
      <c r="A129" s="1" t="s">
        <v>186</v>
      </c>
      <c r="B129" s="4">
        <v>46050</v>
      </c>
      <c r="C129" s="1" t="s">
        <v>19</v>
      </c>
      <c r="D129" s="1" t="s">
        <v>54</v>
      </c>
      <c r="E129" s="5">
        <v>24000</v>
      </c>
      <c r="F129" s="1">
        <v>1</v>
      </c>
      <c r="G129" s="4">
        <v>46056</v>
      </c>
      <c r="H129" s="4">
        <v>46059</v>
      </c>
      <c r="I129" s="4">
        <v>46061</v>
      </c>
      <c r="J129" s="4"/>
      <c r="K129" s="1" t="s">
        <v>55</v>
      </c>
      <c r="L129" s="7">
        <f t="shared" si="6"/>
        <v>1</v>
      </c>
      <c r="M129" s="7">
        <f t="shared" si="7"/>
        <v>11</v>
      </c>
      <c r="N129" s="7">
        <f t="shared" si="8"/>
        <v>6</v>
      </c>
      <c r="O129" s="7">
        <f t="shared" si="9"/>
        <v>3</v>
      </c>
      <c r="P129" s="7">
        <f t="shared" si="10"/>
        <v>2</v>
      </c>
      <c r="Q129" s="7" t="str">
        <f>IF(K129="Open",Summary!$B$6-B129,"")</f>
        <v/>
      </c>
      <c r="R129" s="7">
        <f>IF(L129=1,IF(M129&lt;=Summary!$B$5,1,0),"")</f>
        <v>0</v>
      </c>
      <c r="S129" s="1" t="str">
        <f t="shared" si="11"/>
        <v>2026-01</v>
      </c>
    </row>
    <row r="130" spans="1:19" ht="23" customHeight="1">
      <c r="A130" s="1" t="s">
        <v>187</v>
      </c>
      <c r="B130" s="4">
        <v>46025</v>
      </c>
      <c r="C130" s="1" t="s">
        <v>18</v>
      </c>
      <c r="D130" s="1" t="s">
        <v>62</v>
      </c>
      <c r="E130" s="5">
        <v>13000</v>
      </c>
      <c r="F130" s="1">
        <v>1</v>
      </c>
      <c r="G130" s="4">
        <v>46033</v>
      </c>
      <c r="H130" s="4">
        <v>46036</v>
      </c>
      <c r="I130" s="4">
        <v>46037</v>
      </c>
      <c r="J130" s="4"/>
      <c r="K130" s="1" t="s">
        <v>55</v>
      </c>
      <c r="L130" s="7">
        <f t="shared" si="6"/>
        <v>1</v>
      </c>
      <c r="M130" s="7">
        <f t="shared" si="7"/>
        <v>12</v>
      </c>
      <c r="N130" s="7">
        <f t="shared" si="8"/>
        <v>8</v>
      </c>
      <c r="O130" s="7">
        <f t="shared" si="9"/>
        <v>3</v>
      </c>
      <c r="P130" s="7">
        <f t="shared" si="10"/>
        <v>1</v>
      </c>
      <c r="Q130" s="7" t="str">
        <f>IF(K130="Open",Summary!$B$6-B130,"")</f>
        <v/>
      </c>
      <c r="R130" s="7">
        <f>IF(L130=1,IF(M130&lt;=Summary!$B$5,1,0),"")</f>
        <v>0</v>
      </c>
      <c r="S130" s="1" t="str">
        <f t="shared" si="11"/>
        <v>2026-01</v>
      </c>
    </row>
    <row r="131" spans="1:19" ht="23" customHeight="1">
      <c r="A131" s="1" t="s">
        <v>188</v>
      </c>
      <c r="B131" s="4">
        <v>46105</v>
      </c>
      <c r="C131" s="1" t="s">
        <v>19</v>
      </c>
      <c r="D131" s="1" t="s">
        <v>54</v>
      </c>
      <c r="E131" s="5">
        <v>38000</v>
      </c>
      <c r="F131" s="1">
        <v>0</v>
      </c>
      <c r="G131" s="4">
        <v>46105</v>
      </c>
      <c r="H131" s="4">
        <v>46111</v>
      </c>
      <c r="I131" s="4">
        <v>46112</v>
      </c>
      <c r="J131" s="4"/>
      <c r="K131" s="1" t="s">
        <v>55</v>
      </c>
      <c r="L131" s="7">
        <f t="shared" si="6"/>
        <v>1</v>
      </c>
      <c r="M131" s="7">
        <f t="shared" si="7"/>
        <v>7</v>
      </c>
      <c r="N131" s="7">
        <f t="shared" si="8"/>
        <v>0</v>
      </c>
      <c r="O131" s="7">
        <f t="shared" si="9"/>
        <v>6</v>
      </c>
      <c r="P131" s="7">
        <f t="shared" si="10"/>
        <v>1</v>
      </c>
      <c r="Q131" s="7" t="str">
        <f>IF(K131="Open",Summary!$B$6-B131,"")</f>
        <v/>
      </c>
      <c r="R131" s="7">
        <f>IF(L131=1,IF(M131&lt;=Summary!$B$5,1,0),"")</f>
        <v>1</v>
      </c>
      <c r="S131" s="1" t="str">
        <f t="shared" si="11"/>
        <v>2026-03</v>
      </c>
    </row>
    <row r="132" spans="1:19" ht="23" customHeight="1">
      <c r="A132" s="1" t="s">
        <v>189</v>
      </c>
      <c r="B132" s="4">
        <v>46077</v>
      </c>
      <c r="C132" s="1" t="s">
        <v>18</v>
      </c>
      <c r="D132" s="1" t="s">
        <v>62</v>
      </c>
      <c r="E132" s="5">
        <v>38000</v>
      </c>
      <c r="F132" s="1">
        <v>0</v>
      </c>
      <c r="G132" s="4">
        <v>46079</v>
      </c>
      <c r="H132" s="4">
        <v>46084</v>
      </c>
      <c r="I132" s="4">
        <v>46087</v>
      </c>
      <c r="J132" s="4"/>
      <c r="K132" s="1" t="s">
        <v>55</v>
      </c>
      <c r="L132" s="7">
        <f t="shared" si="6"/>
        <v>1</v>
      </c>
      <c r="M132" s="7">
        <f t="shared" si="7"/>
        <v>10</v>
      </c>
      <c r="N132" s="7">
        <f t="shared" si="8"/>
        <v>2</v>
      </c>
      <c r="O132" s="7">
        <f t="shared" si="9"/>
        <v>5</v>
      </c>
      <c r="P132" s="7">
        <f t="shared" si="10"/>
        <v>3</v>
      </c>
      <c r="Q132" s="7" t="str">
        <f>IF(K132="Open",Summary!$B$6-B132,"")</f>
        <v/>
      </c>
      <c r="R132" s="7">
        <f>IF(L132=1,IF(M132&lt;=Summary!$B$5,1,0),"")</f>
        <v>0</v>
      </c>
      <c r="S132" s="1" t="str">
        <f t="shared" si="11"/>
        <v>2026-02</v>
      </c>
    </row>
    <row r="133" spans="1:19" ht="23" customHeight="1">
      <c r="A133" s="1" t="s">
        <v>190</v>
      </c>
      <c r="B133" s="4">
        <v>46063</v>
      </c>
      <c r="C133" s="1" t="s">
        <v>19</v>
      </c>
      <c r="D133" s="1" t="s">
        <v>54</v>
      </c>
      <c r="E133" s="5">
        <v>17000</v>
      </c>
      <c r="F133" s="1">
        <v>0</v>
      </c>
      <c r="G133" s="4">
        <v>46064</v>
      </c>
      <c r="H133" s="4">
        <v>46068</v>
      </c>
      <c r="I133" s="4">
        <v>46070</v>
      </c>
      <c r="J133" s="4"/>
      <c r="K133" s="1" t="s">
        <v>55</v>
      </c>
      <c r="L133" s="7">
        <f t="shared" ref="L133:L196" si="12">IF(OR(K133="Approved",K133="Declined"),1,0)</f>
        <v>1</v>
      </c>
      <c r="M133" s="7">
        <f t="shared" ref="M133:M196" si="13">IF(L133=1,I133-B133,"")</f>
        <v>7</v>
      </c>
      <c r="N133" s="7">
        <f t="shared" ref="N133:N196" si="14">IF(L133=1,G133-B133,"")</f>
        <v>1</v>
      </c>
      <c r="O133" s="7">
        <f t="shared" ref="O133:O196" si="15">IF(L133=1,H133-G133,"")</f>
        <v>4</v>
      </c>
      <c r="P133" s="7">
        <f t="shared" ref="P133:P196" si="16">IF(L133=1,I133-H133,"")</f>
        <v>2</v>
      </c>
      <c r="Q133" s="7" t="str">
        <f>IF(K133="Open",Summary!$B$6-B133,"")</f>
        <v/>
      </c>
      <c r="R133" s="7">
        <f>IF(L133=1,IF(M133&lt;=Summary!$B$5,1,0),"")</f>
        <v>1</v>
      </c>
      <c r="S133" s="1" t="str">
        <f t="shared" ref="S133:S196" si="17">TEXT(B133,"yyyy-mm")</f>
        <v>2026-02</v>
      </c>
    </row>
    <row r="134" spans="1:19" ht="23" customHeight="1">
      <c r="A134" s="1" t="s">
        <v>191</v>
      </c>
      <c r="B134" s="4">
        <v>46087</v>
      </c>
      <c r="C134" s="1" t="s">
        <v>18</v>
      </c>
      <c r="D134" s="1" t="s">
        <v>65</v>
      </c>
      <c r="E134" s="5">
        <v>42000</v>
      </c>
      <c r="F134" s="1">
        <v>0</v>
      </c>
      <c r="G134" s="4">
        <v>46088</v>
      </c>
      <c r="H134" s="4">
        <v>46092</v>
      </c>
      <c r="I134" s="4">
        <v>46094</v>
      </c>
      <c r="J134" s="4"/>
      <c r="K134" s="1" t="s">
        <v>55</v>
      </c>
      <c r="L134" s="7">
        <f t="shared" si="12"/>
        <v>1</v>
      </c>
      <c r="M134" s="7">
        <f t="shared" si="13"/>
        <v>7</v>
      </c>
      <c r="N134" s="7">
        <f t="shared" si="14"/>
        <v>1</v>
      </c>
      <c r="O134" s="7">
        <f t="shared" si="15"/>
        <v>4</v>
      </c>
      <c r="P134" s="7">
        <f t="shared" si="16"/>
        <v>2</v>
      </c>
      <c r="Q134" s="7" t="str">
        <f>IF(K134="Open",Summary!$B$6-B134,"")</f>
        <v/>
      </c>
      <c r="R134" s="7">
        <f>IF(L134=1,IF(M134&lt;=Summary!$B$5,1,0),"")</f>
        <v>1</v>
      </c>
      <c r="S134" s="1" t="str">
        <f t="shared" si="17"/>
        <v>2026-03</v>
      </c>
    </row>
    <row r="135" spans="1:19" ht="23" customHeight="1">
      <c r="A135" s="1" t="s">
        <v>192</v>
      </c>
      <c r="B135" s="4">
        <v>46058</v>
      </c>
      <c r="C135" s="1" t="s">
        <v>18</v>
      </c>
      <c r="D135" s="1" t="s">
        <v>62</v>
      </c>
      <c r="E135" s="5">
        <v>28000</v>
      </c>
      <c r="F135" s="1">
        <v>1</v>
      </c>
      <c r="G135" s="4">
        <v>46066</v>
      </c>
      <c r="H135" s="4">
        <v>46072</v>
      </c>
      <c r="I135" s="4">
        <v>46073</v>
      </c>
      <c r="J135" s="4"/>
      <c r="K135" s="1" t="s">
        <v>63</v>
      </c>
      <c r="L135" s="7">
        <f t="shared" si="12"/>
        <v>1</v>
      </c>
      <c r="M135" s="7">
        <f t="shared" si="13"/>
        <v>15</v>
      </c>
      <c r="N135" s="7">
        <f t="shared" si="14"/>
        <v>8</v>
      </c>
      <c r="O135" s="7">
        <f t="shared" si="15"/>
        <v>6</v>
      </c>
      <c r="P135" s="7">
        <f t="shared" si="16"/>
        <v>1</v>
      </c>
      <c r="Q135" s="7" t="str">
        <f>IF(K135="Open",Summary!$B$6-B135,"")</f>
        <v/>
      </c>
      <c r="R135" s="7">
        <f>IF(L135=1,IF(M135&lt;=Summary!$B$5,1,0),"")</f>
        <v>0</v>
      </c>
      <c r="S135" s="1" t="str">
        <f t="shared" si="17"/>
        <v>2026-02</v>
      </c>
    </row>
    <row r="136" spans="1:19" ht="23" customHeight="1">
      <c r="A136" s="1" t="s">
        <v>193</v>
      </c>
      <c r="B136" s="4">
        <v>46066</v>
      </c>
      <c r="C136" s="1" t="s">
        <v>19</v>
      </c>
      <c r="D136" s="1" t="s">
        <v>54</v>
      </c>
      <c r="E136" s="5">
        <v>17000</v>
      </c>
      <c r="F136" s="1">
        <v>0</v>
      </c>
      <c r="G136" s="4">
        <v>46068</v>
      </c>
      <c r="H136" s="4">
        <v>46070</v>
      </c>
      <c r="I136" s="4">
        <v>46071</v>
      </c>
      <c r="J136" s="4"/>
      <c r="K136" s="1" t="s">
        <v>55</v>
      </c>
      <c r="L136" s="7">
        <f t="shared" si="12"/>
        <v>1</v>
      </c>
      <c r="M136" s="7">
        <f t="shared" si="13"/>
        <v>5</v>
      </c>
      <c r="N136" s="7">
        <f t="shared" si="14"/>
        <v>2</v>
      </c>
      <c r="O136" s="7">
        <f t="shared" si="15"/>
        <v>2</v>
      </c>
      <c r="P136" s="7">
        <f t="shared" si="16"/>
        <v>1</v>
      </c>
      <c r="Q136" s="7" t="str">
        <f>IF(K136="Open",Summary!$B$6-B136,"")</f>
        <v/>
      </c>
      <c r="R136" s="7">
        <f>IF(L136=1,IF(M136&lt;=Summary!$B$5,1,0),"")</f>
        <v>1</v>
      </c>
      <c r="S136" s="1" t="str">
        <f t="shared" si="17"/>
        <v>2026-02</v>
      </c>
    </row>
    <row r="137" spans="1:19" ht="23" customHeight="1">
      <c r="A137" s="1" t="s">
        <v>194</v>
      </c>
      <c r="B137" s="4">
        <v>46110</v>
      </c>
      <c r="C137" s="1" t="s">
        <v>18</v>
      </c>
      <c r="D137" s="1" t="s">
        <v>59</v>
      </c>
      <c r="E137" s="5">
        <v>12000</v>
      </c>
      <c r="F137" s="1">
        <v>0</v>
      </c>
      <c r="G137" s="4">
        <v>46111</v>
      </c>
      <c r="H137" s="4"/>
      <c r="I137" s="4"/>
      <c r="J137" s="4"/>
      <c r="K137" s="1" t="s">
        <v>69</v>
      </c>
      <c r="L137" s="7">
        <f t="shared" si="12"/>
        <v>0</v>
      </c>
      <c r="M137" s="7" t="str">
        <f t="shared" si="13"/>
        <v/>
      </c>
      <c r="N137" s="7" t="str">
        <f t="shared" si="14"/>
        <v/>
      </c>
      <c r="O137" s="7" t="str">
        <f t="shared" si="15"/>
        <v/>
      </c>
      <c r="P137" s="7" t="str">
        <f t="shared" si="16"/>
        <v/>
      </c>
      <c r="Q137" s="7">
        <f>IF(K137="Open",Summary!$B$6-B137,"")</f>
        <v>2</v>
      </c>
      <c r="R137" s="7" t="str">
        <f>IF(L137=1,IF(M137&lt;=Summary!$B$5,1,0),"")</f>
        <v/>
      </c>
      <c r="S137" s="1" t="str">
        <f t="shared" si="17"/>
        <v>2026-03</v>
      </c>
    </row>
    <row r="138" spans="1:19" ht="23" customHeight="1">
      <c r="A138" s="1" t="s">
        <v>195</v>
      </c>
      <c r="B138" s="4">
        <v>46061</v>
      </c>
      <c r="C138" s="1" t="s">
        <v>18</v>
      </c>
      <c r="D138" s="1" t="s">
        <v>62</v>
      </c>
      <c r="E138" s="5">
        <v>17000</v>
      </c>
      <c r="F138" s="1">
        <v>0</v>
      </c>
      <c r="G138" s="4">
        <v>46062</v>
      </c>
      <c r="H138" s="4">
        <v>46069</v>
      </c>
      <c r="I138" s="4">
        <v>46071</v>
      </c>
      <c r="J138" s="4"/>
      <c r="K138" s="1" t="s">
        <v>55</v>
      </c>
      <c r="L138" s="7">
        <f t="shared" si="12"/>
        <v>1</v>
      </c>
      <c r="M138" s="7">
        <f t="shared" si="13"/>
        <v>10</v>
      </c>
      <c r="N138" s="7">
        <f t="shared" si="14"/>
        <v>1</v>
      </c>
      <c r="O138" s="7">
        <f t="shared" si="15"/>
        <v>7</v>
      </c>
      <c r="P138" s="7">
        <f t="shared" si="16"/>
        <v>2</v>
      </c>
      <c r="Q138" s="7" t="str">
        <f>IF(K138="Open",Summary!$B$6-B138,"")</f>
        <v/>
      </c>
      <c r="R138" s="7">
        <f>IF(L138=1,IF(M138&lt;=Summary!$B$5,1,0),"")</f>
        <v>0</v>
      </c>
      <c r="S138" s="1" t="str">
        <f t="shared" si="17"/>
        <v>2026-02</v>
      </c>
    </row>
    <row r="139" spans="1:19" ht="23" customHeight="1">
      <c r="A139" s="1" t="s">
        <v>196</v>
      </c>
      <c r="B139" s="4">
        <v>46055</v>
      </c>
      <c r="C139" s="1" t="s">
        <v>19</v>
      </c>
      <c r="D139" s="1" t="s">
        <v>54</v>
      </c>
      <c r="E139" s="5">
        <v>37000</v>
      </c>
      <c r="F139" s="1">
        <v>0</v>
      </c>
      <c r="G139" s="4">
        <v>46055</v>
      </c>
      <c r="H139" s="4">
        <v>46061</v>
      </c>
      <c r="I139" s="4">
        <v>46063</v>
      </c>
      <c r="J139" s="4"/>
      <c r="K139" s="1" t="s">
        <v>55</v>
      </c>
      <c r="L139" s="7">
        <f t="shared" si="12"/>
        <v>1</v>
      </c>
      <c r="M139" s="7">
        <f t="shared" si="13"/>
        <v>8</v>
      </c>
      <c r="N139" s="7">
        <f t="shared" si="14"/>
        <v>0</v>
      </c>
      <c r="O139" s="7">
        <f t="shared" si="15"/>
        <v>6</v>
      </c>
      <c r="P139" s="7">
        <f t="shared" si="16"/>
        <v>2</v>
      </c>
      <c r="Q139" s="7" t="str">
        <f>IF(K139="Open",Summary!$B$6-B139,"")</f>
        <v/>
      </c>
      <c r="R139" s="7">
        <f>IF(L139=1,IF(M139&lt;=Summary!$B$5,1,0),"")</f>
        <v>0</v>
      </c>
      <c r="S139" s="1" t="str">
        <f t="shared" si="17"/>
        <v>2026-02</v>
      </c>
    </row>
    <row r="140" spans="1:19" ht="23" customHeight="1">
      <c r="A140" s="1" t="s">
        <v>197</v>
      </c>
      <c r="B140" s="4">
        <v>46044</v>
      </c>
      <c r="C140" s="1" t="s">
        <v>19</v>
      </c>
      <c r="D140" s="1" t="s">
        <v>54</v>
      </c>
      <c r="E140" s="5">
        <v>10000</v>
      </c>
      <c r="F140" s="1">
        <v>0</v>
      </c>
      <c r="G140" s="4">
        <v>46044</v>
      </c>
      <c r="H140" s="4">
        <v>46049</v>
      </c>
      <c r="I140" s="4">
        <v>46052</v>
      </c>
      <c r="J140" s="4"/>
      <c r="K140" s="1" t="s">
        <v>55</v>
      </c>
      <c r="L140" s="7">
        <f t="shared" si="12"/>
        <v>1</v>
      </c>
      <c r="M140" s="7">
        <f t="shared" si="13"/>
        <v>8</v>
      </c>
      <c r="N140" s="7">
        <f t="shared" si="14"/>
        <v>0</v>
      </c>
      <c r="O140" s="7">
        <f t="shared" si="15"/>
        <v>5</v>
      </c>
      <c r="P140" s="7">
        <f t="shared" si="16"/>
        <v>3</v>
      </c>
      <c r="Q140" s="7" t="str">
        <f>IF(K140="Open",Summary!$B$6-B140,"")</f>
        <v/>
      </c>
      <c r="R140" s="7">
        <f>IF(L140=1,IF(M140&lt;=Summary!$B$5,1,0),"")</f>
        <v>0</v>
      </c>
      <c r="S140" s="1" t="str">
        <f t="shared" si="17"/>
        <v>2026-01</v>
      </c>
    </row>
    <row r="141" spans="1:19" ht="23" customHeight="1">
      <c r="A141" s="1" t="s">
        <v>198</v>
      </c>
      <c r="B141" s="4">
        <v>46081</v>
      </c>
      <c r="C141" s="1" t="s">
        <v>19</v>
      </c>
      <c r="D141" s="1" t="s">
        <v>54</v>
      </c>
      <c r="E141" s="5">
        <v>18000</v>
      </c>
      <c r="F141" s="1">
        <v>0</v>
      </c>
      <c r="G141" s="4">
        <v>46082</v>
      </c>
      <c r="H141" s="4">
        <v>46083</v>
      </c>
      <c r="I141" s="4">
        <v>46086</v>
      </c>
      <c r="J141" s="4"/>
      <c r="K141" s="1" t="s">
        <v>55</v>
      </c>
      <c r="L141" s="7">
        <f t="shared" si="12"/>
        <v>1</v>
      </c>
      <c r="M141" s="7">
        <f t="shared" si="13"/>
        <v>5</v>
      </c>
      <c r="N141" s="7">
        <f t="shared" si="14"/>
        <v>1</v>
      </c>
      <c r="O141" s="7">
        <f t="shared" si="15"/>
        <v>1</v>
      </c>
      <c r="P141" s="7">
        <f t="shared" si="16"/>
        <v>3</v>
      </c>
      <c r="Q141" s="7" t="str">
        <f>IF(K141="Open",Summary!$B$6-B141,"")</f>
        <v/>
      </c>
      <c r="R141" s="7">
        <f>IF(L141=1,IF(M141&lt;=Summary!$B$5,1,0),"")</f>
        <v>1</v>
      </c>
      <c r="S141" s="1" t="str">
        <f t="shared" si="17"/>
        <v>2026-02</v>
      </c>
    </row>
    <row r="142" spans="1:19" ht="23" customHeight="1">
      <c r="A142" s="1" t="s">
        <v>199</v>
      </c>
      <c r="B142" s="4">
        <v>46071</v>
      </c>
      <c r="C142" s="1" t="s">
        <v>18</v>
      </c>
      <c r="D142" s="1" t="s">
        <v>71</v>
      </c>
      <c r="E142" s="5">
        <v>36000</v>
      </c>
      <c r="F142" s="1">
        <v>1</v>
      </c>
      <c r="G142" s="4"/>
      <c r="H142" s="4"/>
      <c r="I142" s="4"/>
      <c r="J142" s="4">
        <v>46075</v>
      </c>
      <c r="K142" s="1" t="s">
        <v>86</v>
      </c>
      <c r="L142" s="7">
        <f t="shared" si="12"/>
        <v>0</v>
      </c>
      <c r="M142" s="7" t="str">
        <f t="shared" si="13"/>
        <v/>
      </c>
      <c r="N142" s="7" t="str">
        <f t="shared" si="14"/>
        <v/>
      </c>
      <c r="O142" s="7" t="str">
        <f t="shared" si="15"/>
        <v/>
      </c>
      <c r="P142" s="7" t="str">
        <f t="shared" si="16"/>
        <v/>
      </c>
      <c r="Q142" s="7" t="str">
        <f>IF(K142="Open",Summary!$B$6-B142,"")</f>
        <v/>
      </c>
      <c r="R142" s="7" t="str">
        <f>IF(L142=1,IF(M142&lt;=Summary!$B$5,1,0),"")</f>
        <v/>
      </c>
      <c r="S142" s="1" t="str">
        <f t="shared" si="17"/>
        <v>2026-02</v>
      </c>
    </row>
    <row r="143" spans="1:19" ht="23" customHeight="1">
      <c r="A143" s="1" t="s">
        <v>200</v>
      </c>
      <c r="B143" s="4">
        <v>46088</v>
      </c>
      <c r="C143" s="1" t="s">
        <v>18</v>
      </c>
      <c r="D143" s="1" t="s">
        <v>71</v>
      </c>
      <c r="E143" s="5">
        <v>18000</v>
      </c>
      <c r="F143" s="1">
        <v>0</v>
      </c>
      <c r="G143" s="4">
        <v>46090</v>
      </c>
      <c r="H143" s="4">
        <v>46092</v>
      </c>
      <c r="I143" s="4">
        <v>46094</v>
      </c>
      <c r="J143" s="4"/>
      <c r="K143" s="1" t="s">
        <v>55</v>
      </c>
      <c r="L143" s="7">
        <f t="shared" si="12"/>
        <v>1</v>
      </c>
      <c r="M143" s="7">
        <f t="shared" si="13"/>
        <v>6</v>
      </c>
      <c r="N143" s="7">
        <f t="shared" si="14"/>
        <v>2</v>
      </c>
      <c r="O143" s="7">
        <f t="shared" si="15"/>
        <v>2</v>
      </c>
      <c r="P143" s="7">
        <f t="shared" si="16"/>
        <v>2</v>
      </c>
      <c r="Q143" s="7" t="str">
        <f>IF(K143="Open",Summary!$B$6-B143,"")</f>
        <v/>
      </c>
      <c r="R143" s="7">
        <f>IF(L143=1,IF(M143&lt;=Summary!$B$5,1,0),"")</f>
        <v>1</v>
      </c>
      <c r="S143" s="1" t="str">
        <f t="shared" si="17"/>
        <v>2026-03</v>
      </c>
    </row>
    <row r="144" spans="1:19" ht="23" customHeight="1">
      <c r="A144" s="1" t="s">
        <v>201</v>
      </c>
      <c r="B144" s="4">
        <v>46032</v>
      </c>
      <c r="C144" s="1" t="s">
        <v>18</v>
      </c>
      <c r="D144" s="1" t="s">
        <v>62</v>
      </c>
      <c r="E144" s="5">
        <v>45000</v>
      </c>
      <c r="F144" s="1">
        <v>1</v>
      </c>
      <c r="G144" s="4">
        <v>46042</v>
      </c>
      <c r="H144" s="4">
        <v>46046</v>
      </c>
      <c r="I144" s="4">
        <v>46049</v>
      </c>
      <c r="J144" s="4"/>
      <c r="K144" s="1" t="s">
        <v>63</v>
      </c>
      <c r="L144" s="7">
        <f t="shared" si="12"/>
        <v>1</v>
      </c>
      <c r="M144" s="7">
        <f t="shared" si="13"/>
        <v>17</v>
      </c>
      <c r="N144" s="7">
        <f t="shared" si="14"/>
        <v>10</v>
      </c>
      <c r="O144" s="7">
        <f t="shared" si="15"/>
        <v>4</v>
      </c>
      <c r="P144" s="7">
        <f t="shared" si="16"/>
        <v>3</v>
      </c>
      <c r="Q144" s="7" t="str">
        <f>IF(K144="Open",Summary!$B$6-B144,"")</f>
        <v/>
      </c>
      <c r="R144" s="7">
        <f>IF(L144=1,IF(M144&lt;=Summary!$B$5,1,0),"")</f>
        <v>0</v>
      </c>
      <c r="S144" s="1" t="str">
        <f t="shared" si="17"/>
        <v>2026-01</v>
      </c>
    </row>
    <row r="145" spans="1:19" ht="23" customHeight="1">
      <c r="A145" s="1" t="s">
        <v>202</v>
      </c>
      <c r="B145" s="4">
        <v>46087</v>
      </c>
      <c r="C145" s="1" t="s">
        <v>18</v>
      </c>
      <c r="D145" s="1" t="s">
        <v>59</v>
      </c>
      <c r="E145" s="5">
        <v>38000</v>
      </c>
      <c r="F145" s="1">
        <v>1</v>
      </c>
      <c r="G145" s="4">
        <v>46091</v>
      </c>
      <c r="H145" s="4">
        <v>46095</v>
      </c>
      <c r="I145" s="4">
        <v>46098</v>
      </c>
      <c r="J145" s="4"/>
      <c r="K145" s="1" t="s">
        <v>55</v>
      </c>
      <c r="L145" s="7">
        <f t="shared" si="12"/>
        <v>1</v>
      </c>
      <c r="M145" s="7">
        <f t="shared" si="13"/>
        <v>11</v>
      </c>
      <c r="N145" s="7">
        <f t="shared" si="14"/>
        <v>4</v>
      </c>
      <c r="O145" s="7">
        <f t="shared" si="15"/>
        <v>4</v>
      </c>
      <c r="P145" s="7">
        <f t="shared" si="16"/>
        <v>3</v>
      </c>
      <c r="Q145" s="7" t="str">
        <f>IF(K145="Open",Summary!$B$6-B145,"")</f>
        <v/>
      </c>
      <c r="R145" s="7">
        <f>IF(L145=1,IF(M145&lt;=Summary!$B$5,1,0),"")</f>
        <v>0</v>
      </c>
      <c r="S145" s="1" t="str">
        <f t="shared" si="17"/>
        <v>2026-03</v>
      </c>
    </row>
    <row r="146" spans="1:19" ht="23" customHeight="1">
      <c r="A146" s="1" t="s">
        <v>203</v>
      </c>
      <c r="B146" s="4">
        <v>46086</v>
      </c>
      <c r="C146" s="1" t="s">
        <v>18</v>
      </c>
      <c r="D146" s="1" t="s">
        <v>62</v>
      </c>
      <c r="E146" s="5">
        <v>28000</v>
      </c>
      <c r="F146" s="1">
        <v>0</v>
      </c>
      <c r="G146" s="4">
        <v>46088</v>
      </c>
      <c r="H146" s="4">
        <v>46096</v>
      </c>
      <c r="I146" s="4">
        <v>46098</v>
      </c>
      <c r="J146" s="4"/>
      <c r="K146" s="1" t="s">
        <v>55</v>
      </c>
      <c r="L146" s="7">
        <f t="shared" si="12"/>
        <v>1</v>
      </c>
      <c r="M146" s="7">
        <f t="shared" si="13"/>
        <v>12</v>
      </c>
      <c r="N146" s="7">
        <f t="shared" si="14"/>
        <v>2</v>
      </c>
      <c r="O146" s="7">
        <f t="shared" si="15"/>
        <v>8</v>
      </c>
      <c r="P146" s="7">
        <f t="shared" si="16"/>
        <v>2</v>
      </c>
      <c r="Q146" s="7" t="str">
        <f>IF(K146="Open",Summary!$B$6-B146,"")</f>
        <v/>
      </c>
      <c r="R146" s="7">
        <f>IF(L146=1,IF(M146&lt;=Summary!$B$5,1,0),"")</f>
        <v>0</v>
      </c>
      <c r="S146" s="1" t="str">
        <f t="shared" si="17"/>
        <v>2026-03</v>
      </c>
    </row>
    <row r="147" spans="1:19" ht="23" customHeight="1">
      <c r="A147" s="1" t="s">
        <v>204</v>
      </c>
      <c r="B147" s="4">
        <v>46094</v>
      </c>
      <c r="C147" s="1" t="s">
        <v>18</v>
      </c>
      <c r="D147" s="1" t="s">
        <v>65</v>
      </c>
      <c r="E147" s="5">
        <v>13000</v>
      </c>
      <c r="F147" s="1">
        <v>0</v>
      </c>
      <c r="G147" s="4">
        <v>46094</v>
      </c>
      <c r="H147" s="4">
        <v>46099</v>
      </c>
      <c r="I147" s="4">
        <v>46100</v>
      </c>
      <c r="J147" s="4"/>
      <c r="K147" s="1" t="s">
        <v>55</v>
      </c>
      <c r="L147" s="7">
        <f t="shared" si="12"/>
        <v>1</v>
      </c>
      <c r="M147" s="7">
        <f t="shared" si="13"/>
        <v>6</v>
      </c>
      <c r="N147" s="7">
        <f t="shared" si="14"/>
        <v>0</v>
      </c>
      <c r="O147" s="7">
        <f t="shared" si="15"/>
        <v>5</v>
      </c>
      <c r="P147" s="7">
        <f t="shared" si="16"/>
        <v>1</v>
      </c>
      <c r="Q147" s="7" t="str">
        <f>IF(K147="Open",Summary!$B$6-B147,"")</f>
        <v/>
      </c>
      <c r="R147" s="7">
        <f>IF(L147=1,IF(M147&lt;=Summary!$B$5,1,0),"")</f>
        <v>1</v>
      </c>
      <c r="S147" s="1" t="str">
        <f t="shared" si="17"/>
        <v>2026-03</v>
      </c>
    </row>
    <row r="148" spans="1:19" ht="23" customHeight="1">
      <c r="A148" s="1" t="s">
        <v>205</v>
      </c>
      <c r="B148" s="4">
        <v>46050</v>
      </c>
      <c r="C148" s="1" t="s">
        <v>18</v>
      </c>
      <c r="D148" s="1" t="s">
        <v>71</v>
      </c>
      <c r="E148" s="5">
        <v>44000</v>
      </c>
      <c r="F148" s="1">
        <v>0</v>
      </c>
      <c r="G148" s="4">
        <v>46050</v>
      </c>
      <c r="H148" s="4">
        <v>46055</v>
      </c>
      <c r="I148" s="4">
        <v>46058</v>
      </c>
      <c r="J148" s="4"/>
      <c r="K148" s="1" t="s">
        <v>63</v>
      </c>
      <c r="L148" s="7">
        <f t="shared" si="12"/>
        <v>1</v>
      </c>
      <c r="M148" s="7">
        <f t="shared" si="13"/>
        <v>8</v>
      </c>
      <c r="N148" s="7">
        <f t="shared" si="14"/>
        <v>0</v>
      </c>
      <c r="O148" s="7">
        <f t="shared" si="15"/>
        <v>5</v>
      </c>
      <c r="P148" s="7">
        <f t="shared" si="16"/>
        <v>3</v>
      </c>
      <c r="Q148" s="7" t="str">
        <f>IF(K148="Open",Summary!$B$6-B148,"")</f>
        <v/>
      </c>
      <c r="R148" s="7">
        <f>IF(L148=1,IF(M148&lt;=Summary!$B$5,1,0),"")</f>
        <v>0</v>
      </c>
      <c r="S148" s="1" t="str">
        <f t="shared" si="17"/>
        <v>2026-01</v>
      </c>
    </row>
    <row r="149" spans="1:19" ht="23" customHeight="1">
      <c r="A149" s="1" t="s">
        <v>206</v>
      </c>
      <c r="B149" s="4">
        <v>46047</v>
      </c>
      <c r="C149" s="1" t="s">
        <v>18</v>
      </c>
      <c r="D149" s="1" t="s">
        <v>65</v>
      </c>
      <c r="E149" s="5">
        <v>19000</v>
      </c>
      <c r="F149" s="1">
        <v>0</v>
      </c>
      <c r="G149" s="4">
        <v>46048</v>
      </c>
      <c r="H149" s="4">
        <v>46051</v>
      </c>
      <c r="I149" s="4">
        <v>46052</v>
      </c>
      <c r="J149" s="4"/>
      <c r="K149" s="1" t="s">
        <v>55</v>
      </c>
      <c r="L149" s="7">
        <f t="shared" si="12"/>
        <v>1</v>
      </c>
      <c r="M149" s="7">
        <f t="shared" si="13"/>
        <v>5</v>
      </c>
      <c r="N149" s="7">
        <f t="shared" si="14"/>
        <v>1</v>
      </c>
      <c r="O149" s="7">
        <f t="shared" si="15"/>
        <v>3</v>
      </c>
      <c r="P149" s="7">
        <f t="shared" si="16"/>
        <v>1</v>
      </c>
      <c r="Q149" s="7" t="str">
        <f>IF(K149="Open",Summary!$B$6-B149,"")</f>
        <v/>
      </c>
      <c r="R149" s="7">
        <f>IF(L149=1,IF(M149&lt;=Summary!$B$5,1,0),"")</f>
        <v>1</v>
      </c>
      <c r="S149" s="1" t="str">
        <f t="shared" si="17"/>
        <v>2026-01</v>
      </c>
    </row>
    <row r="150" spans="1:19" ht="23" customHeight="1">
      <c r="A150" s="1" t="s">
        <v>207</v>
      </c>
      <c r="B150" s="4">
        <v>46032</v>
      </c>
      <c r="C150" s="1" t="s">
        <v>19</v>
      </c>
      <c r="D150" s="1" t="s">
        <v>54</v>
      </c>
      <c r="E150" s="5">
        <v>6000</v>
      </c>
      <c r="F150" s="1">
        <v>1</v>
      </c>
      <c r="G150" s="4">
        <v>46036</v>
      </c>
      <c r="H150" s="4">
        <v>46041</v>
      </c>
      <c r="I150" s="4">
        <v>46042</v>
      </c>
      <c r="J150" s="4"/>
      <c r="K150" s="1" t="s">
        <v>55</v>
      </c>
      <c r="L150" s="7">
        <f t="shared" si="12"/>
        <v>1</v>
      </c>
      <c r="M150" s="7">
        <f t="shared" si="13"/>
        <v>10</v>
      </c>
      <c r="N150" s="7">
        <f t="shared" si="14"/>
        <v>4</v>
      </c>
      <c r="O150" s="7">
        <f t="shared" si="15"/>
        <v>5</v>
      </c>
      <c r="P150" s="7">
        <f t="shared" si="16"/>
        <v>1</v>
      </c>
      <c r="Q150" s="7" t="str">
        <f>IF(K150="Open",Summary!$B$6-B150,"")</f>
        <v/>
      </c>
      <c r="R150" s="7">
        <f>IF(L150=1,IF(M150&lt;=Summary!$B$5,1,0),"")</f>
        <v>0</v>
      </c>
      <c r="S150" s="1" t="str">
        <f t="shared" si="17"/>
        <v>2026-01</v>
      </c>
    </row>
    <row r="151" spans="1:19" ht="23" customHeight="1">
      <c r="A151" s="1" t="s">
        <v>208</v>
      </c>
      <c r="B151" s="4">
        <v>46063</v>
      </c>
      <c r="C151" s="1" t="s">
        <v>19</v>
      </c>
      <c r="D151" s="1" t="s">
        <v>54</v>
      </c>
      <c r="E151" s="5">
        <v>23000</v>
      </c>
      <c r="F151" s="1">
        <v>1</v>
      </c>
      <c r="G151" s="4">
        <v>46072</v>
      </c>
      <c r="H151" s="4">
        <v>46077</v>
      </c>
      <c r="I151" s="4">
        <v>46078</v>
      </c>
      <c r="J151" s="4"/>
      <c r="K151" s="1" t="s">
        <v>55</v>
      </c>
      <c r="L151" s="7">
        <f t="shared" si="12"/>
        <v>1</v>
      </c>
      <c r="M151" s="7">
        <f t="shared" si="13"/>
        <v>15</v>
      </c>
      <c r="N151" s="7">
        <f t="shared" si="14"/>
        <v>9</v>
      </c>
      <c r="O151" s="7">
        <f t="shared" si="15"/>
        <v>5</v>
      </c>
      <c r="P151" s="7">
        <f t="shared" si="16"/>
        <v>1</v>
      </c>
      <c r="Q151" s="7" t="str">
        <f>IF(K151="Open",Summary!$B$6-B151,"")</f>
        <v/>
      </c>
      <c r="R151" s="7">
        <f>IF(L151=1,IF(M151&lt;=Summary!$B$5,1,0),"")</f>
        <v>0</v>
      </c>
      <c r="S151" s="1" t="str">
        <f t="shared" si="17"/>
        <v>2026-02</v>
      </c>
    </row>
    <row r="152" spans="1:19" ht="23" customHeight="1">
      <c r="A152" s="1" t="s">
        <v>209</v>
      </c>
      <c r="B152" s="4">
        <v>46040</v>
      </c>
      <c r="C152" s="1" t="s">
        <v>18</v>
      </c>
      <c r="D152" s="1" t="s">
        <v>62</v>
      </c>
      <c r="E152" s="5">
        <v>29000</v>
      </c>
      <c r="F152" s="1">
        <v>0</v>
      </c>
      <c r="G152" s="4">
        <v>46040</v>
      </c>
      <c r="H152" s="4">
        <v>46047</v>
      </c>
      <c r="I152" s="4">
        <v>46048</v>
      </c>
      <c r="J152" s="4"/>
      <c r="K152" s="1" t="s">
        <v>55</v>
      </c>
      <c r="L152" s="7">
        <f t="shared" si="12"/>
        <v>1</v>
      </c>
      <c r="M152" s="7">
        <f t="shared" si="13"/>
        <v>8</v>
      </c>
      <c r="N152" s="7">
        <f t="shared" si="14"/>
        <v>0</v>
      </c>
      <c r="O152" s="7">
        <f t="shared" si="15"/>
        <v>7</v>
      </c>
      <c r="P152" s="7">
        <f t="shared" si="16"/>
        <v>1</v>
      </c>
      <c r="Q152" s="7" t="str">
        <f>IF(K152="Open",Summary!$B$6-B152,"")</f>
        <v/>
      </c>
      <c r="R152" s="7">
        <f>IF(L152=1,IF(M152&lt;=Summary!$B$5,1,0),"")</f>
        <v>0</v>
      </c>
      <c r="S152" s="1" t="str">
        <f t="shared" si="17"/>
        <v>2026-01</v>
      </c>
    </row>
    <row r="153" spans="1:19" ht="23" customHeight="1">
      <c r="A153" s="1" t="s">
        <v>210</v>
      </c>
      <c r="B153" s="4">
        <v>46074</v>
      </c>
      <c r="C153" s="1" t="s">
        <v>18</v>
      </c>
      <c r="D153" s="1" t="s">
        <v>65</v>
      </c>
      <c r="E153" s="5">
        <v>35000</v>
      </c>
      <c r="F153" s="1">
        <v>0</v>
      </c>
      <c r="G153" s="4">
        <v>46075</v>
      </c>
      <c r="H153" s="4">
        <v>46079</v>
      </c>
      <c r="I153" s="4">
        <v>46080</v>
      </c>
      <c r="J153" s="4"/>
      <c r="K153" s="1" t="s">
        <v>55</v>
      </c>
      <c r="L153" s="7">
        <f t="shared" si="12"/>
        <v>1</v>
      </c>
      <c r="M153" s="7">
        <f t="shared" si="13"/>
        <v>6</v>
      </c>
      <c r="N153" s="7">
        <f t="shared" si="14"/>
        <v>1</v>
      </c>
      <c r="O153" s="7">
        <f t="shared" si="15"/>
        <v>4</v>
      </c>
      <c r="P153" s="7">
        <f t="shared" si="16"/>
        <v>1</v>
      </c>
      <c r="Q153" s="7" t="str">
        <f>IF(K153="Open",Summary!$B$6-B153,"")</f>
        <v/>
      </c>
      <c r="R153" s="7">
        <f>IF(L153=1,IF(M153&lt;=Summary!$B$5,1,0),"")</f>
        <v>1</v>
      </c>
      <c r="S153" s="1" t="str">
        <f t="shared" si="17"/>
        <v>2026-02</v>
      </c>
    </row>
    <row r="154" spans="1:19" ht="23" customHeight="1">
      <c r="A154" s="1" t="s">
        <v>211</v>
      </c>
      <c r="B154" s="4">
        <v>46077</v>
      </c>
      <c r="C154" s="1" t="s">
        <v>19</v>
      </c>
      <c r="D154" s="1" t="s">
        <v>54</v>
      </c>
      <c r="E154" s="5">
        <v>16000</v>
      </c>
      <c r="F154" s="1">
        <v>1</v>
      </c>
      <c r="G154" s="4">
        <v>46085</v>
      </c>
      <c r="H154" s="4">
        <v>46091</v>
      </c>
      <c r="I154" s="4">
        <v>46093</v>
      </c>
      <c r="J154" s="4"/>
      <c r="K154" s="1" t="s">
        <v>63</v>
      </c>
      <c r="L154" s="7">
        <f t="shared" si="12"/>
        <v>1</v>
      </c>
      <c r="M154" s="7">
        <f t="shared" si="13"/>
        <v>16</v>
      </c>
      <c r="N154" s="7">
        <f t="shared" si="14"/>
        <v>8</v>
      </c>
      <c r="O154" s="7">
        <f t="shared" si="15"/>
        <v>6</v>
      </c>
      <c r="P154" s="7">
        <f t="shared" si="16"/>
        <v>2</v>
      </c>
      <c r="Q154" s="7" t="str">
        <f>IF(K154="Open",Summary!$B$6-B154,"")</f>
        <v/>
      </c>
      <c r="R154" s="7">
        <f>IF(L154=1,IF(M154&lt;=Summary!$B$5,1,0),"")</f>
        <v>0</v>
      </c>
      <c r="S154" s="1" t="str">
        <f t="shared" si="17"/>
        <v>2026-02</v>
      </c>
    </row>
    <row r="155" spans="1:19" ht="23" customHeight="1">
      <c r="A155" s="1" t="s">
        <v>212</v>
      </c>
      <c r="B155" s="4">
        <v>46083</v>
      </c>
      <c r="C155" s="1" t="s">
        <v>19</v>
      </c>
      <c r="D155" s="1" t="s">
        <v>54</v>
      </c>
      <c r="E155" s="5">
        <v>6000</v>
      </c>
      <c r="F155" s="1">
        <v>0</v>
      </c>
      <c r="G155" s="4">
        <v>46085</v>
      </c>
      <c r="H155" s="4">
        <v>46086</v>
      </c>
      <c r="I155" s="4">
        <v>46087</v>
      </c>
      <c r="J155" s="4"/>
      <c r="K155" s="1" t="s">
        <v>63</v>
      </c>
      <c r="L155" s="7">
        <f t="shared" si="12"/>
        <v>1</v>
      </c>
      <c r="M155" s="7">
        <f t="shared" si="13"/>
        <v>4</v>
      </c>
      <c r="N155" s="7">
        <f t="shared" si="14"/>
        <v>2</v>
      </c>
      <c r="O155" s="7">
        <f t="shared" si="15"/>
        <v>1</v>
      </c>
      <c r="P155" s="7">
        <f t="shared" si="16"/>
        <v>1</v>
      </c>
      <c r="Q155" s="7" t="str">
        <f>IF(K155="Open",Summary!$B$6-B155,"")</f>
        <v/>
      </c>
      <c r="R155" s="7">
        <f>IF(L155=1,IF(M155&lt;=Summary!$B$5,1,0),"")</f>
        <v>1</v>
      </c>
      <c r="S155" s="1" t="str">
        <f t="shared" si="17"/>
        <v>2026-03</v>
      </c>
    </row>
    <row r="156" spans="1:19" ht="23" customHeight="1">
      <c r="A156" s="1" t="s">
        <v>213</v>
      </c>
      <c r="B156" s="4">
        <v>46053</v>
      </c>
      <c r="C156" s="1" t="s">
        <v>18</v>
      </c>
      <c r="D156" s="1" t="s">
        <v>65</v>
      </c>
      <c r="E156" s="5">
        <v>35000</v>
      </c>
      <c r="F156" s="1">
        <v>0</v>
      </c>
      <c r="G156" s="4">
        <v>46055</v>
      </c>
      <c r="H156" s="4">
        <v>46060</v>
      </c>
      <c r="I156" s="4">
        <v>46061</v>
      </c>
      <c r="J156" s="4"/>
      <c r="K156" s="1" t="s">
        <v>55</v>
      </c>
      <c r="L156" s="7">
        <f t="shared" si="12"/>
        <v>1</v>
      </c>
      <c r="M156" s="7">
        <f t="shared" si="13"/>
        <v>8</v>
      </c>
      <c r="N156" s="7">
        <f t="shared" si="14"/>
        <v>2</v>
      </c>
      <c r="O156" s="7">
        <f t="shared" si="15"/>
        <v>5</v>
      </c>
      <c r="P156" s="7">
        <f t="shared" si="16"/>
        <v>1</v>
      </c>
      <c r="Q156" s="7" t="str">
        <f>IF(K156="Open",Summary!$B$6-B156,"")</f>
        <v/>
      </c>
      <c r="R156" s="7">
        <f>IF(L156=1,IF(M156&lt;=Summary!$B$5,1,0),"")</f>
        <v>0</v>
      </c>
      <c r="S156" s="1" t="str">
        <f t="shared" si="17"/>
        <v>2026-01</v>
      </c>
    </row>
    <row r="157" spans="1:19" ht="23" customHeight="1">
      <c r="A157" s="1" t="s">
        <v>214</v>
      </c>
      <c r="B157" s="4">
        <v>46054</v>
      </c>
      <c r="C157" s="1" t="s">
        <v>19</v>
      </c>
      <c r="D157" s="1" t="s">
        <v>54</v>
      </c>
      <c r="E157" s="5">
        <v>10000</v>
      </c>
      <c r="F157" s="1">
        <v>1</v>
      </c>
      <c r="G157" s="4"/>
      <c r="H157" s="4"/>
      <c r="I157" s="4"/>
      <c r="J157" s="4">
        <v>46061</v>
      </c>
      <c r="K157" s="1" t="s">
        <v>86</v>
      </c>
      <c r="L157" s="7">
        <f t="shared" si="12"/>
        <v>0</v>
      </c>
      <c r="M157" s="7" t="str">
        <f t="shared" si="13"/>
        <v/>
      </c>
      <c r="N157" s="7" t="str">
        <f t="shared" si="14"/>
        <v/>
      </c>
      <c r="O157" s="7" t="str">
        <f t="shared" si="15"/>
        <v/>
      </c>
      <c r="P157" s="7" t="str">
        <f t="shared" si="16"/>
        <v/>
      </c>
      <c r="Q157" s="7" t="str">
        <f>IF(K157="Open",Summary!$B$6-B157,"")</f>
        <v/>
      </c>
      <c r="R157" s="7" t="str">
        <f>IF(L157=1,IF(M157&lt;=Summary!$B$5,1,0),"")</f>
        <v/>
      </c>
      <c r="S157" s="1" t="str">
        <f t="shared" si="17"/>
        <v>2026-02</v>
      </c>
    </row>
    <row r="158" spans="1:19" ht="23" customHeight="1">
      <c r="A158" s="1" t="s">
        <v>215</v>
      </c>
      <c r="B158" s="4">
        <v>46042</v>
      </c>
      <c r="C158" s="1" t="s">
        <v>18</v>
      </c>
      <c r="D158" s="1" t="s">
        <v>65</v>
      </c>
      <c r="E158" s="5">
        <v>30000</v>
      </c>
      <c r="F158" s="1">
        <v>0</v>
      </c>
      <c r="G158" s="4">
        <v>46044</v>
      </c>
      <c r="H158" s="4">
        <v>46050</v>
      </c>
      <c r="I158" s="4">
        <v>46053</v>
      </c>
      <c r="J158" s="4"/>
      <c r="K158" s="1" t="s">
        <v>55</v>
      </c>
      <c r="L158" s="7">
        <f t="shared" si="12"/>
        <v>1</v>
      </c>
      <c r="M158" s="7">
        <f t="shared" si="13"/>
        <v>11</v>
      </c>
      <c r="N158" s="7">
        <f t="shared" si="14"/>
        <v>2</v>
      </c>
      <c r="O158" s="7">
        <f t="shared" si="15"/>
        <v>6</v>
      </c>
      <c r="P158" s="7">
        <f t="shared" si="16"/>
        <v>3</v>
      </c>
      <c r="Q158" s="7" t="str">
        <f>IF(K158="Open",Summary!$B$6-B158,"")</f>
        <v/>
      </c>
      <c r="R158" s="7">
        <f>IF(L158=1,IF(M158&lt;=Summary!$B$5,1,0),"")</f>
        <v>0</v>
      </c>
      <c r="S158" s="1" t="str">
        <f t="shared" si="17"/>
        <v>2026-01</v>
      </c>
    </row>
    <row r="159" spans="1:19" ht="23" customHeight="1">
      <c r="A159" s="1" t="s">
        <v>216</v>
      </c>
      <c r="B159" s="4">
        <v>46035</v>
      </c>
      <c r="C159" s="1" t="s">
        <v>19</v>
      </c>
      <c r="D159" s="1" t="s">
        <v>54</v>
      </c>
      <c r="E159" s="5">
        <v>46000</v>
      </c>
      <c r="F159" s="1">
        <v>1</v>
      </c>
      <c r="G159" s="4">
        <v>46043</v>
      </c>
      <c r="H159" s="4">
        <v>46047</v>
      </c>
      <c r="I159" s="4">
        <v>46049</v>
      </c>
      <c r="J159" s="4"/>
      <c r="K159" s="1" t="s">
        <v>55</v>
      </c>
      <c r="L159" s="7">
        <f t="shared" si="12"/>
        <v>1</v>
      </c>
      <c r="M159" s="7">
        <f t="shared" si="13"/>
        <v>14</v>
      </c>
      <c r="N159" s="7">
        <f t="shared" si="14"/>
        <v>8</v>
      </c>
      <c r="O159" s="7">
        <f t="shared" si="15"/>
        <v>4</v>
      </c>
      <c r="P159" s="7">
        <f t="shared" si="16"/>
        <v>2</v>
      </c>
      <c r="Q159" s="7" t="str">
        <f>IF(K159="Open",Summary!$B$6-B159,"")</f>
        <v/>
      </c>
      <c r="R159" s="7">
        <f>IF(L159=1,IF(M159&lt;=Summary!$B$5,1,0),"")</f>
        <v>0</v>
      </c>
      <c r="S159" s="1" t="str">
        <f t="shared" si="17"/>
        <v>2026-01</v>
      </c>
    </row>
    <row r="160" spans="1:19" ht="23" customHeight="1">
      <c r="A160" s="1" t="s">
        <v>217</v>
      </c>
      <c r="B160" s="4">
        <v>46102</v>
      </c>
      <c r="C160" s="1" t="s">
        <v>19</v>
      </c>
      <c r="D160" s="1" t="s">
        <v>54</v>
      </c>
      <c r="E160" s="5">
        <v>34000</v>
      </c>
      <c r="F160" s="1">
        <v>1</v>
      </c>
      <c r="G160" s="4">
        <v>46106</v>
      </c>
      <c r="H160" s="4">
        <v>46109</v>
      </c>
      <c r="I160" s="4">
        <v>46110</v>
      </c>
      <c r="J160" s="4"/>
      <c r="K160" s="1" t="s">
        <v>55</v>
      </c>
      <c r="L160" s="7">
        <f t="shared" si="12"/>
        <v>1</v>
      </c>
      <c r="M160" s="7">
        <f t="shared" si="13"/>
        <v>8</v>
      </c>
      <c r="N160" s="7">
        <f t="shared" si="14"/>
        <v>4</v>
      </c>
      <c r="O160" s="7">
        <f t="shared" si="15"/>
        <v>3</v>
      </c>
      <c r="P160" s="7">
        <f t="shared" si="16"/>
        <v>1</v>
      </c>
      <c r="Q160" s="7" t="str">
        <f>IF(K160="Open",Summary!$B$6-B160,"")</f>
        <v/>
      </c>
      <c r="R160" s="7">
        <f>IF(L160=1,IF(M160&lt;=Summary!$B$5,1,0),"")</f>
        <v>0</v>
      </c>
      <c r="S160" s="1" t="str">
        <f t="shared" si="17"/>
        <v>2026-03</v>
      </c>
    </row>
    <row r="161" spans="1:19" ht="23" customHeight="1">
      <c r="A161" s="1" t="s">
        <v>218</v>
      </c>
      <c r="B161" s="4">
        <v>46066</v>
      </c>
      <c r="C161" s="1" t="s">
        <v>18</v>
      </c>
      <c r="D161" s="1" t="s">
        <v>71</v>
      </c>
      <c r="E161" s="5">
        <v>14000</v>
      </c>
      <c r="F161" s="1">
        <v>1</v>
      </c>
      <c r="G161" s="4">
        <v>46073</v>
      </c>
      <c r="H161" s="4">
        <v>46078</v>
      </c>
      <c r="I161" s="4">
        <v>46079</v>
      </c>
      <c r="J161" s="4"/>
      <c r="K161" s="1" t="s">
        <v>55</v>
      </c>
      <c r="L161" s="7">
        <f t="shared" si="12"/>
        <v>1</v>
      </c>
      <c r="M161" s="7">
        <f t="shared" si="13"/>
        <v>13</v>
      </c>
      <c r="N161" s="7">
        <f t="shared" si="14"/>
        <v>7</v>
      </c>
      <c r="O161" s="7">
        <f t="shared" si="15"/>
        <v>5</v>
      </c>
      <c r="P161" s="7">
        <f t="shared" si="16"/>
        <v>1</v>
      </c>
      <c r="Q161" s="7" t="str">
        <f>IF(K161="Open",Summary!$B$6-B161,"")</f>
        <v/>
      </c>
      <c r="R161" s="7">
        <f>IF(L161=1,IF(M161&lt;=Summary!$B$5,1,0),"")</f>
        <v>0</v>
      </c>
      <c r="S161" s="1" t="str">
        <f t="shared" si="17"/>
        <v>2026-02</v>
      </c>
    </row>
    <row r="162" spans="1:19" ht="23" customHeight="1">
      <c r="A162" s="1" t="s">
        <v>219</v>
      </c>
      <c r="B162" s="4">
        <v>46044</v>
      </c>
      <c r="C162" s="1" t="s">
        <v>19</v>
      </c>
      <c r="D162" s="1" t="s">
        <v>54</v>
      </c>
      <c r="E162" s="5">
        <v>31000</v>
      </c>
      <c r="F162" s="1">
        <v>0</v>
      </c>
      <c r="G162" s="4">
        <v>46045</v>
      </c>
      <c r="H162" s="4">
        <v>46047</v>
      </c>
      <c r="I162" s="4">
        <v>46048</v>
      </c>
      <c r="J162" s="4"/>
      <c r="K162" s="1" t="s">
        <v>55</v>
      </c>
      <c r="L162" s="7">
        <f t="shared" si="12"/>
        <v>1</v>
      </c>
      <c r="M162" s="7">
        <f t="shared" si="13"/>
        <v>4</v>
      </c>
      <c r="N162" s="7">
        <f t="shared" si="14"/>
        <v>1</v>
      </c>
      <c r="O162" s="7">
        <f t="shared" si="15"/>
        <v>2</v>
      </c>
      <c r="P162" s="7">
        <f t="shared" si="16"/>
        <v>1</v>
      </c>
      <c r="Q162" s="7" t="str">
        <f>IF(K162="Open",Summary!$B$6-B162,"")</f>
        <v/>
      </c>
      <c r="R162" s="7">
        <f>IF(L162=1,IF(M162&lt;=Summary!$B$5,1,0),"")</f>
        <v>1</v>
      </c>
      <c r="S162" s="1" t="str">
        <f t="shared" si="17"/>
        <v>2026-01</v>
      </c>
    </row>
    <row r="163" spans="1:19" ht="23" customHeight="1">
      <c r="A163" s="1" t="s">
        <v>220</v>
      </c>
      <c r="B163" s="4">
        <v>46033</v>
      </c>
      <c r="C163" s="1" t="s">
        <v>19</v>
      </c>
      <c r="D163" s="1" t="s">
        <v>54</v>
      </c>
      <c r="E163" s="5">
        <v>38000</v>
      </c>
      <c r="F163" s="1">
        <v>0</v>
      </c>
      <c r="G163" s="4">
        <v>46034</v>
      </c>
      <c r="H163" s="4">
        <v>46037</v>
      </c>
      <c r="I163" s="4">
        <v>46038</v>
      </c>
      <c r="J163" s="4"/>
      <c r="K163" s="1" t="s">
        <v>55</v>
      </c>
      <c r="L163" s="7">
        <f t="shared" si="12"/>
        <v>1</v>
      </c>
      <c r="M163" s="7">
        <f t="shared" si="13"/>
        <v>5</v>
      </c>
      <c r="N163" s="7">
        <f t="shared" si="14"/>
        <v>1</v>
      </c>
      <c r="O163" s="7">
        <f t="shared" si="15"/>
        <v>3</v>
      </c>
      <c r="P163" s="7">
        <f t="shared" si="16"/>
        <v>1</v>
      </c>
      <c r="Q163" s="7" t="str">
        <f>IF(K163="Open",Summary!$B$6-B163,"")</f>
        <v/>
      </c>
      <c r="R163" s="7">
        <f>IF(L163=1,IF(M163&lt;=Summary!$B$5,1,0),"")</f>
        <v>1</v>
      </c>
      <c r="S163" s="1" t="str">
        <f t="shared" si="17"/>
        <v>2026-01</v>
      </c>
    </row>
    <row r="164" spans="1:19" ht="23" customHeight="1">
      <c r="A164" s="1" t="s">
        <v>221</v>
      </c>
      <c r="B164" s="4">
        <v>46037</v>
      </c>
      <c r="C164" s="1" t="s">
        <v>19</v>
      </c>
      <c r="D164" s="1" t="s">
        <v>54</v>
      </c>
      <c r="E164" s="5">
        <v>15000</v>
      </c>
      <c r="F164" s="1">
        <v>1</v>
      </c>
      <c r="G164" s="4"/>
      <c r="H164" s="4"/>
      <c r="I164" s="4"/>
      <c r="J164" s="4">
        <v>46039</v>
      </c>
      <c r="K164" s="1" t="s">
        <v>86</v>
      </c>
      <c r="L164" s="7">
        <f t="shared" si="12"/>
        <v>0</v>
      </c>
      <c r="M164" s="7" t="str">
        <f t="shared" si="13"/>
        <v/>
      </c>
      <c r="N164" s="7" t="str">
        <f t="shared" si="14"/>
        <v/>
      </c>
      <c r="O164" s="7" t="str">
        <f t="shared" si="15"/>
        <v/>
      </c>
      <c r="P164" s="7" t="str">
        <f t="shared" si="16"/>
        <v/>
      </c>
      <c r="Q164" s="7" t="str">
        <f>IF(K164="Open",Summary!$B$6-B164,"")</f>
        <v/>
      </c>
      <c r="R164" s="7" t="str">
        <f>IF(L164=1,IF(M164&lt;=Summary!$B$5,1,0),"")</f>
        <v/>
      </c>
      <c r="S164" s="1" t="str">
        <f t="shared" si="17"/>
        <v>2026-01</v>
      </c>
    </row>
    <row r="165" spans="1:19" ht="23" customHeight="1">
      <c r="A165" s="1" t="s">
        <v>222</v>
      </c>
      <c r="B165" s="4">
        <v>46107</v>
      </c>
      <c r="C165" s="1" t="s">
        <v>19</v>
      </c>
      <c r="D165" s="1" t="s">
        <v>54</v>
      </c>
      <c r="E165" s="5">
        <v>6000</v>
      </c>
      <c r="F165" s="1">
        <v>0</v>
      </c>
      <c r="G165" s="4">
        <v>46108</v>
      </c>
      <c r="H165" s="4">
        <v>46112</v>
      </c>
      <c r="I165" s="4"/>
      <c r="J165" s="4"/>
      <c r="K165" s="1" t="s">
        <v>69</v>
      </c>
      <c r="L165" s="7">
        <f t="shared" si="12"/>
        <v>0</v>
      </c>
      <c r="M165" s="7" t="str">
        <f t="shared" si="13"/>
        <v/>
      </c>
      <c r="N165" s="7" t="str">
        <f t="shared" si="14"/>
        <v/>
      </c>
      <c r="O165" s="7" t="str">
        <f t="shared" si="15"/>
        <v/>
      </c>
      <c r="P165" s="7" t="str">
        <f t="shared" si="16"/>
        <v/>
      </c>
      <c r="Q165" s="7">
        <f>IF(K165="Open",Summary!$B$6-B165,"")</f>
        <v>5</v>
      </c>
      <c r="R165" s="7" t="str">
        <f>IF(L165=1,IF(M165&lt;=Summary!$B$5,1,0),"")</f>
        <v/>
      </c>
      <c r="S165" s="1" t="str">
        <f t="shared" si="17"/>
        <v>2026-03</v>
      </c>
    </row>
    <row r="166" spans="1:19" ht="23" customHeight="1">
      <c r="A166" s="1" t="s">
        <v>223</v>
      </c>
      <c r="B166" s="4">
        <v>46034</v>
      </c>
      <c r="C166" s="1" t="s">
        <v>18</v>
      </c>
      <c r="D166" s="1" t="s">
        <v>71</v>
      </c>
      <c r="E166" s="5">
        <v>12000</v>
      </c>
      <c r="F166" s="1">
        <v>0</v>
      </c>
      <c r="G166" s="4">
        <v>46036</v>
      </c>
      <c r="H166" s="4">
        <v>46041</v>
      </c>
      <c r="I166" s="4">
        <v>46042</v>
      </c>
      <c r="J166" s="4"/>
      <c r="K166" s="1" t="s">
        <v>55</v>
      </c>
      <c r="L166" s="7">
        <f t="shared" si="12"/>
        <v>1</v>
      </c>
      <c r="M166" s="7">
        <f t="shared" si="13"/>
        <v>8</v>
      </c>
      <c r="N166" s="7">
        <f t="shared" si="14"/>
        <v>2</v>
      </c>
      <c r="O166" s="7">
        <f t="shared" si="15"/>
        <v>5</v>
      </c>
      <c r="P166" s="7">
        <f t="shared" si="16"/>
        <v>1</v>
      </c>
      <c r="Q166" s="7" t="str">
        <f>IF(K166="Open",Summary!$B$6-B166,"")</f>
        <v/>
      </c>
      <c r="R166" s="7">
        <f>IF(L166=1,IF(M166&lt;=Summary!$B$5,1,0),"")</f>
        <v>0</v>
      </c>
      <c r="S166" s="1" t="str">
        <f t="shared" si="17"/>
        <v>2026-01</v>
      </c>
    </row>
    <row r="167" spans="1:19" ht="23" customHeight="1">
      <c r="A167" s="1" t="s">
        <v>224</v>
      </c>
      <c r="B167" s="4">
        <v>46044</v>
      </c>
      <c r="C167" s="1" t="s">
        <v>19</v>
      </c>
      <c r="D167" s="1" t="s">
        <v>54</v>
      </c>
      <c r="E167" s="5">
        <v>29000</v>
      </c>
      <c r="F167" s="1">
        <v>1</v>
      </c>
      <c r="G167" s="4"/>
      <c r="H167" s="4"/>
      <c r="I167" s="4"/>
      <c r="J167" s="4">
        <v>46045</v>
      </c>
      <c r="K167" s="1" t="s">
        <v>86</v>
      </c>
      <c r="L167" s="7">
        <f t="shared" si="12"/>
        <v>0</v>
      </c>
      <c r="M167" s="7" t="str">
        <f t="shared" si="13"/>
        <v/>
      </c>
      <c r="N167" s="7" t="str">
        <f t="shared" si="14"/>
        <v/>
      </c>
      <c r="O167" s="7" t="str">
        <f t="shared" si="15"/>
        <v/>
      </c>
      <c r="P167" s="7" t="str">
        <f t="shared" si="16"/>
        <v/>
      </c>
      <c r="Q167" s="7" t="str">
        <f>IF(K167="Open",Summary!$B$6-B167,"")</f>
        <v/>
      </c>
      <c r="R167" s="7" t="str">
        <f>IF(L167=1,IF(M167&lt;=Summary!$B$5,1,0),"")</f>
        <v/>
      </c>
      <c r="S167" s="1" t="str">
        <f t="shared" si="17"/>
        <v>2026-01</v>
      </c>
    </row>
    <row r="168" spans="1:19" ht="23" customHeight="1">
      <c r="A168" s="1" t="s">
        <v>225</v>
      </c>
      <c r="B168" s="4">
        <v>46049</v>
      </c>
      <c r="C168" s="1" t="s">
        <v>18</v>
      </c>
      <c r="D168" s="1" t="s">
        <v>65</v>
      </c>
      <c r="E168" s="5">
        <v>32000</v>
      </c>
      <c r="F168" s="1">
        <v>1</v>
      </c>
      <c r="G168" s="4">
        <v>46052</v>
      </c>
      <c r="H168" s="4">
        <v>46056</v>
      </c>
      <c r="I168" s="4">
        <v>46059</v>
      </c>
      <c r="J168" s="4"/>
      <c r="K168" s="1" t="s">
        <v>55</v>
      </c>
      <c r="L168" s="7">
        <f t="shared" si="12"/>
        <v>1</v>
      </c>
      <c r="M168" s="7">
        <f t="shared" si="13"/>
        <v>10</v>
      </c>
      <c r="N168" s="7">
        <f t="shared" si="14"/>
        <v>3</v>
      </c>
      <c r="O168" s="7">
        <f t="shared" si="15"/>
        <v>4</v>
      </c>
      <c r="P168" s="7">
        <f t="shared" si="16"/>
        <v>3</v>
      </c>
      <c r="Q168" s="7" t="str">
        <f>IF(K168="Open",Summary!$B$6-B168,"")</f>
        <v/>
      </c>
      <c r="R168" s="7">
        <f>IF(L168=1,IF(M168&lt;=Summary!$B$5,1,0),"")</f>
        <v>0</v>
      </c>
      <c r="S168" s="1" t="str">
        <f t="shared" si="17"/>
        <v>2026-01</v>
      </c>
    </row>
    <row r="169" spans="1:19" ht="23" customHeight="1">
      <c r="A169" s="1" t="s">
        <v>226</v>
      </c>
      <c r="B169" s="4">
        <v>46100</v>
      </c>
      <c r="C169" s="1" t="s">
        <v>18</v>
      </c>
      <c r="D169" s="1" t="s">
        <v>62</v>
      </c>
      <c r="E169" s="5">
        <v>12000</v>
      </c>
      <c r="F169" s="1">
        <v>1</v>
      </c>
      <c r="G169" s="4">
        <v>46110</v>
      </c>
      <c r="H169" s="4"/>
      <c r="I169" s="4"/>
      <c r="J169" s="4"/>
      <c r="K169" s="1" t="s">
        <v>69</v>
      </c>
      <c r="L169" s="7">
        <f t="shared" si="12"/>
        <v>0</v>
      </c>
      <c r="M169" s="7" t="str">
        <f t="shared" si="13"/>
        <v/>
      </c>
      <c r="N169" s="7" t="str">
        <f t="shared" si="14"/>
        <v/>
      </c>
      <c r="O169" s="7" t="str">
        <f t="shared" si="15"/>
        <v/>
      </c>
      <c r="P169" s="7" t="str">
        <f t="shared" si="16"/>
        <v/>
      </c>
      <c r="Q169" s="7">
        <f>IF(K169="Open",Summary!$B$6-B169,"")</f>
        <v>12</v>
      </c>
      <c r="R169" s="7" t="str">
        <f>IF(L169=1,IF(M169&lt;=Summary!$B$5,1,0),"")</f>
        <v/>
      </c>
      <c r="S169" s="1" t="str">
        <f t="shared" si="17"/>
        <v>2026-03</v>
      </c>
    </row>
    <row r="170" spans="1:19" ht="23" customHeight="1">
      <c r="A170" s="1" t="s">
        <v>227</v>
      </c>
      <c r="B170" s="4">
        <v>46105</v>
      </c>
      <c r="C170" s="1" t="s">
        <v>19</v>
      </c>
      <c r="D170" s="1" t="s">
        <v>54</v>
      </c>
      <c r="E170" s="5">
        <v>18000</v>
      </c>
      <c r="F170" s="1">
        <v>0</v>
      </c>
      <c r="G170" s="4">
        <v>46106</v>
      </c>
      <c r="H170" s="4">
        <v>46111</v>
      </c>
      <c r="I170" s="4"/>
      <c r="J170" s="4"/>
      <c r="K170" s="1" t="s">
        <v>69</v>
      </c>
      <c r="L170" s="7">
        <f t="shared" si="12"/>
        <v>0</v>
      </c>
      <c r="M170" s="7" t="str">
        <f t="shared" si="13"/>
        <v/>
      </c>
      <c r="N170" s="7" t="str">
        <f t="shared" si="14"/>
        <v/>
      </c>
      <c r="O170" s="7" t="str">
        <f t="shared" si="15"/>
        <v/>
      </c>
      <c r="P170" s="7" t="str">
        <f t="shared" si="16"/>
        <v/>
      </c>
      <c r="Q170" s="7">
        <f>IF(K170="Open",Summary!$B$6-B170,"")</f>
        <v>7</v>
      </c>
      <c r="R170" s="7" t="str">
        <f>IF(L170=1,IF(M170&lt;=Summary!$B$5,1,0),"")</f>
        <v/>
      </c>
      <c r="S170" s="1" t="str">
        <f t="shared" si="17"/>
        <v>2026-03</v>
      </c>
    </row>
    <row r="171" spans="1:19" ht="23" customHeight="1">
      <c r="A171" s="1" t="s">
        <v>228</v>
      </c>
      <c r="B171" s="4">
        <v>46071</v>
      </c>
      <c r="C171" s="1" t="s">
        <v>18</v>
      </c>
      <c r="D171" s="1" t="s">
        <v>59</v>
      </c>
      <c r="E171" s="5">
        <v>47000</v>
      </c>
      <c r="F171" s="1">
        <v>1</v>
      </c>
      <c r="G171" s="4">
        <v>46077</v>
      </c>
      <c r="H171" s="4">
        <v>46082</v>
      </c>
      <c r="I171" s="4">
        <v>46083</v>
      </c>
      <c r="J171" s="4"/>
      <c r="K171" s="1" t="s">
        <v>55</v>
      </c>
      <c r="L171" s="7">
        <f t="shared" si="12"/>
        <v>1</v>
      </c>
      <c r="M171" s="7">
        <f t="shared" si="13"/>
        <v>12</v>
      </c>
      <c r="N171" s="7">
        <f t="shared" si="14"/>
        <v>6</v>
      </c>
      <c r="O171" s="7">
        <f t="shared" si="15"/>
        <v>5</v>
      </c>
      <c r="P171" s="7">
        <f t="shared" si="16"/>
        <v>1</v>
      </c>
      <c r="Q171" s="7" t="str">
        <f>IF(K171="Open",Summary!$B$6-B171,"")</f>
        <v/>
      </c>
      <c r="R171" s="7">
        <f>IF(L171=1,IF(M171&lt;=Summary!$B$5,1,0),"")</f>
        <v>0</v>
      </c>
      <c r="S171" s="1" t="str">
        <f t="shared" si="17"/>
        <v>2026-02</v>
      </c>
    </row>
    <row r="172" spans="1:19" ht="23" customHeight="1">
      <c r="A172" s="1" t="s">
        <v>229</v>
      </c>
      <c r="B172" s="4">
        <v>46025</v>
      </c>
      <c r="C172" s="1" t="s">
        <v>18</v>
      </c>
      <c r="D172" s="1" t="s">
        <v>71</v>
      </c>
      <c r="E172" s="5">
        <v>12000</v>
      </c>
      <c r="F172" s="1">
        <v>1</v>
      </c>
      <c r="G172" s="4">
        <v>46028</v>
      </c>
      <c r="H172" s="4">
        <v>46029</v>
      </c>
      <c r="I172" s="4">
        <v>46030</v>
      </c>
      <c r="J172" s="4"/>
      <c r="K172" s="1" t="s">
        <v>55</v>
      </c>
      <c r="L172" s="7">
        <f t="shared" si="12"/>
        <v>1</v>
      </c>
      <c r="M172" s="7">
        <f t="shared" si="13"/>
        <v>5</v>
      </c>
      <c r="N172" s="7">
        <f t="shared" si="14"/>
        <v>3</v>
      </c>
      <c r="O172" s="7">
        <f t="shared" si="15"/>
        <v>1</v>
      </c>
      <c r="P172" s="7">
        <f t="shared" si="16"/>
        <v>1</v>
      </c>
      <c r="Q172" s="7" t="str">
        <f>IF(K172="Open",Summary!$B$6-B172,"")</f>
        <v/>
      </c>
      <c r="R172" s="7">
        <f>IF(L172=1,IF(M172&lt;=Summary!$B$5,1,0),"")</f>
        <v>1</v>
      </c>
      <c r="S172" s="1" t="str">
        <f t="shared" si="17"/>
        <v>2026-01</v>
      </c>
    </row>
    <row r="173" spans="1:19" ht="23" customHeight="1">
      <c r="A173" s="1" t="s">
        <v>230</v>
      </c>
      <c r="B173" s="4">
        <v>46050</v>
      </c>
      <c r="C173" s="1" t="s">
        <v>18</v>
      </c>
      <c r="D173" s="1" t="s">
        <v>62</v>
      </c>
      <c r="E173" s="5">
        <v>24000</v>
      </c>
      <c r="F173" s="1">
        <v>0</v>
      </c>
      <c r="G173" s="4">
        <v>46050</v>
      </c>
      <c r="H173" s="4">
        <v>46054</v>
      </c>
      <c r="I173" s="4">
        <v>46056</v>
      </c>
      <c r="J173" s="4"/>
      <c r="K173" s="1" t="s">
        <v>63</v>
      </c>
      <c r="L173" s="7">
        <f t="shared" si="12"/>
        <v>1</v>
      </c>
      <c r="M173" s="7">
        <f t="shared" si="13"/>
        <v>6</v>
      </c>
      <c r="N173" s="7">
        <f t="shared" si="14"/>
        <v>0</v>
      </c>
      <c r="O173" s="7">
        <f t="shared" si="15"/>
        <v>4</v>
      </c>
      <c r="P173" s="7">
        <f t="shared" si="16"/>
        <v>2</v>
      </c>
      <c r="Q173" s="7" t="str">
        <f>IF(K173="Open",Summary!$B$6-B173,"")</f>
        <v/>
      </c>
      <c r="R173" s="7">
        <f>IF(L173=1,IF(M173&lt;=Summary!$B$5,1,0),"")</f>
        <v>1</v>
      </c>
      <c r="S173" s="1" t="str">
        <f t="shared" si="17"/>
        <v>2026-01</v>
      </c>
    </row>
    <row r="174" spans="1:19" ht="23" customHeight="1">
      <c r="A174" s="1" t="s">
        <v>231</v>
      </c>
      <c r="B174" s="4">
        <v>46054</v>
      </c>
      <c r="C174" s="1" t="s">
        <v>18</v>
      </c>
      <c r="D174" s="1" t="s">
        <v>59</v>
      </c>
      <c r="E174" s="5">
        <v>21000</v>
      </c>
      <c r="F174" s="1">
        <v>1</v>
      </c>
      <c r="G174" s="4">
        <v>46063</v>
      </c>
      <c r="H174" s="4">
        <v>46067</v>
      </c>
      <c r="I174" s="4">
        <v>46069</v>
      </c>
      <c r="J174" s="4"/>
      <c r="K174" s="1" t="s">
        <v>55</v>
      </c>
      <c r="L174" s="7">
        <f t="shared" si="12"/>
        <v>1</v>
      </c>
      <c r="M174" s="7">
        <f t="shared" si="13"/>
        <v>15</v>
      </c>
      <c r="N174" s="7">
        <f t="shared" si="14"/>
        <v>9</v>
      </c>
      <c r="O174" s="7">
        <f t="shared" si="15"/>
        <v>4</v>
      </c>
      <c r="P174" s="7">
        <f t="shared" si="16"/>
        <v>2</v>
      </c>
      <c r="Q174" s="7" t="str">
        <f>IF(K174="Open",Summary!$B$6-B174,"")</f>
        <v/>
      </c>
      <c r="R174" s="7">
        <f>IF(L174=1,IF(M174&lt;=Summary!$B$5,1,0),"")</f>
        <v>0</v>
      </c>
      <c r="S174" s="1" t="str">
        <f t="shared" si="17"/>
        <v>2026-02</v>
      </c>
    </row>
    <row r="175" spans="1:19" ht="23" customHeight="1">
      <c r="A175" s="1" t="s">
        <v>232</v>
      </c>
      <c r="B175" s="4">
        <v>46054</v>
      </c>
      <c r="C175" s="1" t="s">
        <v>19</v>
      </c>
      <c r="D175" s="1" t="s">
        <v>54</v>
      </c>
      <c r="E175" s="5">
        <v>11000</v>
      </c>
      <c r="F175" s="1">
        <v>0</v>
      </c>
      <c r="G175" s="4">
        <v>46054</v>
      </c>
      <c r="H175" s="4">
        <v>46055</v>
      </c>
      <c r="I175" s="4">
        <v>46058</v>
      </c>
      <c r="J175" s="4"/>
      <c r="K175" s="1" t="s">
        <v>55</v>
      </c>
      <c r="L175" s="7">
        <f t="shared" si="12"/>
        <v>1</v>
      </c>
      <c r="M175" s="7">
        <f t="shared" si="13"/>
        <v>4</v>
      </c>
      <c r="N175" s="7">
        <f t="shared" si="14"/>
        <v>0</v>
      </c>
      <c r="O175" s="7">
        <f t="shared" si="15"/>
        <v>1</v>
      </c>
      <c r="P175" s="7">
        <f t="shared" si="16"/>
        <v>3</v>
      </c>
      <c r="Q175" s="7" t="str">
        <f>IF(K175="Open",Summary!$B$6-B175,"")</f>
        <v/>
      </c>
      <c r="R175" s="7">
        <f>IF(L175=1,IF(M175&lt;=Summary!$B$5,1,0),"")</f>
        <v>1</v>
      </c>
      <c r="S175" s="1" t="str">
        <f t="shared" si="17"/>
        <v>2026-02</v>
      </c>
    </row>
    <row r="176" spans="1:19" ht="23" customHeight="1">
      <c r="A176" s="1" t="s">
        <v>233</v>
      </c>
      <c r="B176" s="4">
        <v>46065</v>
      </c>
      <c r="C176" s="1" t="s">
        <v>19</v>
      </c>
      <c r="D176" s="1" t="s">
        <v>54</v>
      </c>
      <c r="E176" s="5">
        <v>38000</v>
      </c>
      <c r="F176" s="1">
        <v>0</v>
      </c>
      <c r="G176" s="4">
        <v>46066</v>
      </c>
      <c r="H176" s="4">
        <v>46071</v>
      </c>
      <c r="I176" s="4">
        <v>46073</v>
      </c>
      <c r="J176" s="4"/>
      <c r="K176" s="1" t="s">
        <v>63</v>
      </c>
      <c r="L176" s="7">
        <f t="shared" si="12"/>
        <v>1</v>
      </c>
      <c r="M176" s="7">
        <f t="shared" si="13"/>
        <v>8</v>
      </c>
      <c r="N176" s="7">
        <f t="shared" si="14"/>
        <v>1</v>
      </c>
      <c r="O176" s="7">
        <f t="shared" si="15"/>
        <v>5</v>
      </c>
      <c r="P176" s="7">
        <f t="shared" si="16"/>
        <v>2</v>
      </c>
      <c r="Q176" s="7" t="str">
        <f>IF(K176="Open",Summary!$B$6-B176,"")</f>
        <v/>
      </c>
      <c r="R176" s="7">
        <f>IF(L176=1,IF(M176&lt;=Summary!$B$5,1,0),"")</f>
        <v>0</v>
      </c>
      <c r="S176" s="1" t="str">
        <f t="shared" si="17"/>
        <v>2026-02</v>
      </c>
    </row>
    <row r="177" spans="1:19" ht="23" customHeight="1">
      <c r="A177" s="1" t="s">
        <v>234</v>
      </c>
      <c r="B177" s="4">
        <v>46109</v>
      </c>
      <c r="C177" s="1" t="s">
        <v>18</v>
      </c>
      <c r="D177" s="1" t="s">
        <v>71</v>
      </c>
      <c r="E177" s="5">
        <v>6000</v>
      </c>
      <c r="F177" s="1">
        <v>0</v>
      </c>
      <c r="G177" s="4">
        <v>46109</v>
      </c>
      <c r="H177" s="4">
        <v>46110</v>
      </c>
      <c r="I177" s="4">
        <v>46111</v>
      </c>
      <c r="J177" s="4"/>
      <c r="K177" s="1" t="s">
        <v>63</v>
      </c>
      <c r="L177" s="7">
        <f t="shared" si="12"/>
        <v>1</v>
      </c>
      <c r="M177" s="7">
        <f t="shared" si="13"/>
        <v>2</v>
      </c>
      <c r="N177" s="7">
        <f t="shared" si="14"/>
        <v>0</v>
      </c>
      <c r="O177" s="7">
        <f t="shared" si="15"/>
        <v>1</v>
      </c>
      <c r="P177" s="7">
        <f t="shared" si="16"/>
        <v>1</v>
      </c>
      <c r="Q177" s="7" t="str">
        <f>IF(K177="Open",Summary!$B$6-B177,"")</f>
        <v/>
      </c>
      <c r="R177" s="7">
        <f>IF(L177=1,IF(M177&lt;=Summary!$B$5,1,0),"")</f>
        <v>1</v>
      </c>
      <c r="S177" s="1" t="str">
        <f t="shared" si="17"/>
        <v>2026-03</v>
      </c>
    </row>
    <row r="178" spans="1:19" ht="23" customHeight="1">
      <c r="A178" s="1" t="s">
        <v>235</v>
      </c>
      <c r="B178" s="4">
        <v>46025</v>
      </c>
      <c r="C178" s="1" t="s">
        <v>18</v>
      </c>
      <c r="D178" s="1" t="s">
        <v>71</v>
      </c>
      <c r="E178" s="5">
        <v>29000</v>
      </c>
      <c r="F178" s="1">
        <v>0</v>
      </c>
      <c r="G178" s="4">
        <v>46025</v>
      </c>
      <c r="H178" s="4">
        <v>46030</v>
      </c>
      <c r="I178" s="4">
        <v>46031</v>
      </c>
      <c r="J178" s="4"/>
      <c r="K178" s="1" t="s">
        <v>63</v>
      </c>
      <c r="L178" s="7">
        <f t="shared" si="12"/>
        <v>1</v>
      </c>
      <c r="M178" s="7">
        <f t="shared" si="13"/>
        <v>6</v>
      </c>
      <c r="N178" s="7">
        <f t="shared" si="14"/>
        <v>0</v>
      </c>
      <c r="O178" s="7">
        <f t="shared" si="15"/>
        <v>5</v>
      </c>
      <c r="P178" s="7">
        <f t="shared" si="16"/>
        <v>1</v>
      </c>
      <c r="Q178" s="7" t="str">
        <f>IF(K178="Open",Summary!$B$6-B178,"")</f>
        <v/>
      </c>
      <c r="R178" s="7">
        <f>IF(L178=1,IF(M178&lt;=Summary!$B$5,1,0),"")</f>
        <v>1</v>
      </c>
      <c r="S178" s="1" t="str">
        <f t="shared" si="17"/>
        <v>2026-01</v>
      </c>
    </row>
    <row r="179" spans="1:19" ht="23" customHeight="1">
      <c r="A179" s="1" t="s">
        <v>236</v>
      </c>
      <c r="B179" s="4">
        <v>46073</v>
      </c>
      <c r="C179" s="1" t="s">
        <v>18</v>
      </c>
      <c r="D179" s="1" t="s">
        <v>62</v>
      </c>
      <c r="E179" s="5">
        <v>38000</v>
      </c>
      <c r="F179" s="1">
        <v>0</v>
      </c>
      <c r="G179" s="4">
        <v>46074</v>
      </c>
      <c r="H179" s="4">
        <v>46080</v>
      </c>
      <c r="I179" s="4">
        <v>46081</v>
      </c>
      <c r="J179" s="4"/>
      <c r="K179" s="1" t="s">
        <v>55</v>
      </c>
      <c r="L179" s="7">
        <f t="shared" si="12"/>
        <v>1</v>
      </c>
      <c r="M179" s="7">
        <f t="shared" si="13"/>
        <v>8</v>
      </c>
      <c r="N179" s="7">
        <f t="shared" si="14"/>
        <v>1</v>
      </c>
      <c r="O179" s="7">
        <f t="shared" si="15"/>
        <v>6</v>
      </c>
      <c r="P179" s="7">
        <f t="shared" si="16"/>
        <v>1</v>
      </c>
      <c r="Q179" s="7" t="str">
        <f>IF(K179="Open",Summary!$B$6-B179,"")</f>
        <v/>
      </c>
      <c r="R179" s="7">
        <f>IF(L179=1,IF(M179&lt;=Summary!$B$5,1,0),"")</f>
        <v>0</v>
      </c>
      <c r="S179" s="1" t="str">
        <f t="shared" si="17"/>
        <v>2026-02</v>
      </c>
    </row>
    <row r="180" spans="1:19" ht="23" customHeight="1">
      <c r="A180" s="1" t="s">
        <v>237</v>
      </c>
      <c r="B180" s="4">
        <v>46102</v>
      </c>
      <c r="C180" s="1" t="s">
        <v>18</v>
      </c>
      <c r="D180" s="1" t="s">
        <v>59</v>
      </c>
      <c r="E180" s="5">
        <v>23000</v>
      </c>
      <c r="F180" s="1">
        <v>1</v>
      </c>
      <c r="G180" s="4">
        <v>46108</v>
      </c>
      <c r="H180" s="4"/>
      <c r="I180" s="4"/>
      <c r="J180" s="4"/>
      <c r="K180" s="1" t="s">
        <v>69</v>
      </c>
      <c r="L180" s="7">
        <f t="shared" si="12"/>
        <v>0</v>
      </c>
      <c r="M180" s="7" t="str">
        <f t="shared" si="13"/>
        <v/>
      </c>
      <c r="N180" s="7" t="str">
        <f t="shared" si="14"/>
        <v/>
      </c>
      <c r="O180" s="7" t="str">
        <f t="shared" si="15"/>
        <v/>
      </c>
      <c r="P180" s="7" t="str">
        <f t="shared" si="16"/>
        <v/>
      </c>
      <c r="Q180" s="7">
        <f>IF(K180="Open",Summary!$B$6-B180,"")</f>
        <v>10</v>
      </c>
      <c r="R180" s="7" t="str">
        <f>IF(L180=1,IF(M180&lt;=Summary!$B$5,1,0),"")</f>
        <v/>
      </c>
      <c r="S180" s="1" t="str">
        <f t="shared" si="17"/>
        <v>2026-03</v>
      </c>
    </row>
    <row r="181" spans="1:19" ht="23" customHeight="1">
      <c r="A181" s="1" t="s">
        <v>238</v>
      </c>
      <c r="B181" s="4">
        <v>46076</v>
      </c>
      <c r="C181" s="1" t="s">
        <v>19</v>
      </c>
      <c r="D181" s="1" t="s">
        <v>54</v>
      </c>
      <c r="E181" s="5">
        <v>23000</v>
      </c>
      <c r="F181" s="1">
        <v>0</v>
      </c>
      <c r="G181" s="4">
        <v>46077</v>
      </c>
      <c r="H181" s="4">
        <v>46082</v>
      </c>
      <c r="I181" s="4">
        <v>46085</v>
      </c>
      <c r="J181" s="4"/>
      <c r="K181" s="1" t="s">
        <v>63</v>
      </c>
      <c r="L181" s="7">
        <f t="shared" si="12"/>
        <v>1</v>
      </c>
      <c r="M181" s="7">
        <f t="shared" si="13"/>
        <v>9</v>
      </c>
      <c r="N181" s="7">
        <f t="shared" si="14"/>
        <v>1</v>
      </c>
      <c r="O181" s="7">
        <f t="shared" si="15"/>
        <v>5</v>
      </c>
      <c r="P181" s="7">
        <f t="shared" si="16"/>
        <v>3</v>
      </c>
      <c r="Q181" s="7" t="str">
        <f>IF(K181="Open",Summary!$B$6-B181,"")</f>
        <v/>
      </c>
      <c r="R181" s="7">
        <f>IF(L181=1,IF(M181&lt;=Summary!$B$5,1,0),"")</f>
        <v>0</v>
      </c>
      <c r="S181" s="1" t="str">
        <f t="shared" si="17"/>
        <v>2026-02</v>
      </c>
    </row>
    <row r="182" spans="1:19" ht="23" customHeight="1">
      <c r="A182" s="1" t="s">
        <v>239</v>
      </c>
      <c r="B182" s="4">
        <v>46039</v>
      </c>
      <c r="C182" s="1" t="s">
        <v>18</v>
      </c>
      <c r="D182" s="1" t="s">
        <v>59</v>
      </c>
      <c r="E182" s="5">
        <v>38000</v>
      </c>
      <c r="F182" s="1">
        <v>1</v>
      </c>
      <c r="G182" s="4">
        <v>46046</v>
      </c>
      <c r="H182" s="4">
        <v>46048</v>
      </c>
      <c r="I182" s="4">
        <v>46050</v>
      </c>
      <c r="J182" s="4"/>
      <c r="K182" s="1" t="s">
        <v>63</v>
      </c>
      <c r="L182" s="7">
        <f t="shared" si="12"/>
        <v>1</v>
      </c>
      <c r="M182" s="7">
        <f t="shared" si="13"/>
        <v>11</v>
      </c>
      <c r="N182" s="7">
        <f t="shared" si="14"/>
        <v>7</v>
      </c>
      <c r="O182" s="7">
        <f t="shared" si="15"/>
        <v>2</v>
      </c>
      <c r="P182" s="7">
        <f t="shared" si="16"/>
        <v>2</v>
      </c>
      <c r="Q182" s="7" t="str">
        <f>IF(K182="Open",Summary!$B$6-B182,"")</f>
        <v/>
      </c>
      <c r="R182" s="7">
        <f>IF(L182=1,IF(M182&lt;=Summary!$B$5,1,0),"")</f>
        <v>0</v>
      </c>
      <c r="S182" s="1" t="str">
        <f t="shared" si="17"/>
        <v>2026-01</v>
      </c>
    </row>
    <row r="183" spans="1:19" ht="23" customHeight="1">
      <c r="A183" s="1" t="s">
        <v>240</v>
      </c>
      <c r="B183" s="4">
        <v>46111</v>
      </c>
      <c r="C183" s="1" t="s">
        <v>18</v>
      </c>
      <c r="D183" s="1" t="s">
        <v>59</v>
      </c>
      <c r="E183" s="5">
        <v>47000</v>
      </c>
      <c r="F183" s="1">
        <v>0</v>
      </c>
      <c r="G183" s="4"/>
      <c r="H183" s="4"/>
      <c r="I183" s="4"/>
      <c r="J183" s="4"/>
      <c r="K183" s="1" t="s">
        <v>69</v>
      </c>
      <c r="L183" s="7">
        <f t="shared" si="12"/>
        <v>0</v>
      </c>
      <c r="M183" s="7" t="str">
        <f t="shared" si="13"/>
        <v/>
      </c>
      <c r="N183" s="7" t="str">
        <f t="shared" si="14"/>
        <v/>
      </c>
      <c r="O183" s="7" t="str">
        <f t="shared" si="15"/>
        <v/>
      </c>
      <c r="P183" s="7" t="str">
        <f t="shared" si="16"/>
        <v/>
      </c>
      <c r="Q183" s="7">
        <f>IF(K183="Open",Summary!$B$6-B183,"")</f>
        <v>1</v>
      </c>
      <c r="R183" s="7" t="str">
        <f>IF(L183=1,IF(M183&lt;=Summary!$B$5,1,0),"")</f>
        <v/>
      </c>
      <c r="S183" s="1" t="str">
        <f t="shared" si="17"/>
        <v>2026-03</v>
      </c>
    </row>
    <row r="184" spans="1:19" ht="23" customHeight="1">
      <c r="A184" s="1" t="s">
        <v>241</v>
      </c>
      <c r="B184" s="4">
        <v>46052</v>
      </c>
      <c r="C184" s="1" t="s">
        <v>19</v>
      </c>
      <c r="D184" s="1" t="s">
        <v>54</v>
      </c>
      <c r="E184" s="5">
        <v>27000</v>
      </c>
      <c r="F184" s="1">
        <v>0</v>
      </c>
      <c r="G184" s="4">
        <v>46052</v>
      </c>
      <c r="H184" s="4">
        <v>46056</v>
      </c>
      <c r="I184" s="4">
        <v>46057</v>
      </c>
      <c r="J184" s="4"/>
      <c r="K184" s="1" t="s">
        <v>55</v>
      </c>
      <c r="L184" s="7">
        <f t="shared" si="12"/>
        <v>1</v>
      </c>
      <c r="M184" s="7">
        <f t="shared" si="13"/>
        <v>5</v>
      </c>
      <c r="N184" s="7">
        <f t="shared" si="14"/>
        <v>0</v>
      </c>
      <c r="O184" s="7">
        <f t="shared" si="15"/>
        <v>4</v>
      </c>
      <c r="P184" s="7">
        <f t="shared" si="16"/>
        <v>1</v>
      </c>
      <c r="Q184" s="7" t="str">
        <f>IF(K184="Open",Summary!$B$6-B184,"")</f>
        <v/>
      </c>
      <c r="R184" s="7">
        <f>IF(L184=1,IF(M184&lt;=Summary!$B$5,1,0),"")</f>
        <v>1</v>
      </c>
      <c r="S184" s="1" t="str">
        <f t="shared" si="17"/>
        <v>2026-01</v>
      </c>
    </row>
    <row r="185" spans="1:19" ht="23" customHeight="1">
      <c r="A185" s="1" t="s">
        <v>242</v>
      </c>
      <c r="B185" s="4">
        <v>46040</v>
      </c>
      <c r="C185" s="1" t="s">
        <v>19</v>
      </c>
      <c r="D185" s="1" t="s">
        <v>54</v>
      </c>
      <c r="E185" s="5">
        <v>9000</v>
      </c>
      <c r="F185" s="1">
        <v>1</v>
      </c>
      <c r="G185" s="4">
        <v>46050</v>
      </c>
      <c r="H185" s="4">
        <v>46051</v>
      </c>
      <c r="I185" s="4">
        <v>46052</v>
      </c>
      <c r="J185" s="4"/>
      <c r="K185" s="1" t="s">
        <v>63</v>
      </c>
      <c r="L185" s="7">
        <f t="shared" si="12"/>
        <v>1</v>
      </c>
      <c r="M185" s="7">
        <f t="shared" si="13"/>
        <v>12</v>
      </c>
      <c r="N185" s="7">
        <f t="shared" si="14"/>
        <v>10</v>
      </c>
      <c r="O185" s="7">
        <f t="shared" si="15"/>
        <v>1</v>
      </c>
      <c r="P185" s="7">
        <f t="shared" si="16"/>
        <v>1</v>
      </c>
      <c r="Q185" s="7" t="str">
        <f>IF(K185="Open",Summary!$B$6-B185,"")</f>
        <v/>
      </c>
      <c r="R185" s="7">
        <f>IF(L185=1,IF(M185&lt;=Summary!$B$5,1,0),"")</f>
        <v>0</v>
      </c>
      <c r="S185" s="1" t="str">
        <f t="shared" si="17"/>
        <v>2026-01</v>
      </c>
    </row>
    <row r="186" spans="1:19" ht="23" customHeight="1">
      <c r="A186" s="1" t="s">
        <v>243</v>
      </c>
      <c r="B186" s="4">
        <v>46064</v>
      </c>
      <c r="C186" s="1" t="s">
        <v>19</v>
      </c>
      <c r="D186" s="1" t="s">
        <v>54</v>
      </c>
      <c r="E186" s="5">
        <v>27000</v>
      </c>
      <c r="F186" s="1">
        <v>1</v>
      </c>
      <c r="G186" s="4">
        <v>46067</v>
      </c>
      <c r="H186" s="4">
        <v>46072</v>
      </c>
      <c r="I186" s="4">
        <v>46075</v>
      </c>
      <c r="J186" s="4"/>
      <c r="K186" s="1" t="s">
        <v>63</v>
      </c>
      <c r="L186" s="7">
        <f t="shared" si="12"/>
        <v>1</v>
      </c>
      <c r="M186" s="7">
        <f t="shared" si="13"/>
        <v>11</v>
      </c>
      <c r="N186" s="7">
        <f t="shared" si="14"/>
        <v>3</v>
      </c>
      <c r="O186" s="7">
        <f t="shared" si="15"/>
        <v>5</v>
      </c>
      <c r="P186" s="7">
        <f t="shared" si="16"/>
        <v>3</v>
      </c>
      <c r="Q186" s="7" t="str">
        <f>IF(K186="Open",Summary!$B$6-B186,"")</f>
        <v/>
      </c>
      <c r="R186" s="7">
        <f>IF(L186=1,IF(M186&lt;=Summary!$B$5,1,0),"")</f>
        <v>0</v>
      </c>
      <c r="S186" s="1" t="str">
        <f t="shared" si="17"/>
        <v>2026-02</v>
      </c>
    </row>
    <row r="187" spans="1:19" ht="23" customHeight="1">
      <c r="A187" s="1" t="s">
        <v>244</v>
      </c>
      <c r="B187" s="4">
        <v>46051</v>
      </c>
      <c r="C187" s="1" t="s">
        <v>18</v>
      </c>
      <c r="D187" s="1" t="s">
        <v>62</v>
      </c>
      <c r="E187" s="5">
        <v>33000</v>
      </c>
      <c r="F187" s="1">
        <v>1</v>
      </c>
      <c r="G187" s="4">
        <v>46059</v>
      </c>
      <c r="H187" s="4">
        <v>46064</v>
      </c>
      <c r="I187" s="4">
        <v>46067</v>
      </c>
      <c r="J187" s="4"/>
      <c r="K187" s="1" t="s">
        <v>55</v>
      </c>
      <c r="L187" s="7">
        <f t="shared" si="12"/>
        <v>1</v>
      </c>
      <c r="M187" s="7">
        <f t="shared" si="13"/>
        <v>16</v>
      </c>
      <c r="N187" s="7">
        <f t="shared" si="14"/>
        <v>8</v>
      </c>
      <c r="O187" s="7">
        <f t="shared" si="15"/>
        <v>5</v>
      </c>
      <c r="P187" s="7">
        <f t="shared" si="16"/>
        <v>3</v>
      </c>
      <c r="Q187" s="7" t="str">
        <f>IF(K187="Open",Summary!$B$6-B187,"")</f>
        <v/>
      </c>
      <c r="R187" s="7">
        <f>IF(L187=1,IF(M187&lt;=Summary!$B$5,1,0),"")</f>
        <v>0</v>
      </c>
      <c r="S187" s="1" t="str">
        <f t="shared" si="17"/>
        <v>2026-01</v>
      </c>
    </row>
    <row r="188" spans="1:19" ht="23" customHeight="1">
      <c r="A188" s="1" t="s">
        <v>245</v>
      </c>
      <c r="B188" s="4">
        <v>46092</v>
      </c>
      <c r="C188" s="1" t="s">
        <v>19</v>
      </c>
      <c r="D188" s="1" t="s">
        <v>54</v>
      </c>
      <c r="E188" s="5">
        <v>26000</v>
      </c>
      <c r="F188" s="1">
        <v>0</v>
      </c>
      <c r="G188" s="4">
        <v>46092</v>
      </c>
      <c r="H188" s="4">
        <v>46094</v>
      </c>
      <c r="I188" s="4">
        <v>46096</v>
      </c>
      <c r="J188" s="4"/>
      <c r="K188" s="1" t="s">
        <v>55</v>
      </c>
      <c r="L188" s="7">
        <f t="shared" si="12"/>
        <v>1</v>
      </c>
      <c r="M188" s="7">
        <f t="shared" si="13"/>
        <v>4</v>
      </c>
      <c r="N188" s="7">
        <f t="shared" si="14"/>
        <v>0</v>
      </c>
      <c r="O188" s="7">
        <f t="shared" si="15"/>
        <v>2</v>
      </c>
      <c r="P188" s="7">
        <f t="shared" si="16"/>
        <v>2</v>
      </c>
      <c r="Q188" s="7" t="str">
        <f>IF(K188="Open",Summary!$B$6-B188,"")</f>
        <v/>
      </c>
      <c r="R188" s="7">
        <f>IF(L188=1,IF(M188&lt;=Summary!$B$5,1,0),"")</f>
        <v>1</v>
      </c>
      <c r="S188" s="1" t="str">
        <f t="shared" si="17"/>
        <v>2026-03</v>
      </c>
    </row>
    <row r="189" spans="1:19" ht="23" customHeight="1">
      <c r="A189" s="1" t="s">
        <v>246</v>
      </c>
      <c r="B189" s="4">
        <v>46061</v>
      </c>
      <c r="C189" s="1" t="s">
        <v>18</v>
      </c>
      <c r="D189" s="1" t="s">
        <v>71</v>
      </c>
      <c r="E189" s="5">
        <v>33000</v>
      </c>
      <c r="F189" s="1">
        <v>1</v>
      </c>
      <c r="G189" s="4">
        <v>46065</v>
      </c>
      <c r="H189" s="4">
        <v>46068</v>
      </c>
      <c r="I189" s="4">
        <v>46070</v>
      </c>
      <c r="J189" s="4"/>
      <c r="K189" s="1" t="s">
        <v>55</v>
      </c>
      <c r="L189" s="7">
        <f t="shared" si="12"/>
        <v>1</v>
      </c>
      <c r="M189" s="7">
        <f t="shared" si="13"/>
        <v>9</v>
      </c>
      <c r="N189" s="7">
        <f t="shared" si="14"/>
        <v>4</v>
      </c>
      <c r="O189" s="7">
        <f t="shared" si="15"/>
        <v>3</v>
      </c>
      <c r="P189" s="7">
        <f t="shared" si="16"/>
        <v>2</v>
      </c>
      <c r="Q189" s="7" t="str">
        <f>IF(K189="Open",Summary!$B$6-B189,"")</f>
        <v/>
      </c>
      <c r="R189" s="7">
        <f>IF(L189=1,IF(M189&lt;=Summary!$B$5,1,0),"")</f>
        <v>0</v>
      </c>
      <c r="S189" s="1" t="str">
        <f t="shared" si="17"/>
        <v>2026-02</v>
      </c>
    </row>
    <row r="190" spans="1:19" ht="23" customHeight="1">
      <c r="A190" s="1" t="s">
        <v>247</v>
      </c>
      <c r="B190" s="4">
        <v>46091</v>
      </c>
      <c r="C190" s="1" t="s">
        <v>18</v>
      </c>
      <c r="D190" s="1" t="s">
        <v>65</v>
      </c>
      <c r="E190" s="5">
        <v>39000</v>
      </c>
      <c r="F190" s="1">
        <v>1</v>
      </c>
      <c r="G190" s="4"/>
      <c r="H190" s="4"/>
      <c r="I190" s="4"/>
      <c r="J190" s="4">
        <v>46095</v>
      </c>
      <c r="K190" s="1" t="s">
        <v>86</v>
      </c>
      <c r="L190" s="7">
        <f t="shared" si="12"/>
        <v>0</v>
      </c>
      <c r="M190" s="7" t="str">
        <f t="shared" si="13"/>
        <v/>
      </c>
      <c r="N190" s="7" t="str">
        <f t="shared" si="14"/>
        <v/>
      </c>
      <c r="O190" s="7" t="str">
        <f t="shared" si="15"/>
        <v/>
      </c>
      <c r="P190" s="7" t="str">
        <f t="shared" si="16"/>
        <v/>
      </c>
      <c r="Q190" s="7" t="str">
        <f>IF(K190="Open",Summary!$B$6-B190,"")</f>
        <v/>
      </c>
      <c r="R190" s="7" t="str">
        <f>IF(L190=1,IF(M190&lt;=Summary!$B$5,1,0),"")</f>
        <v/>
      </c>
      <c r="S190" s="1" t="str">
        <f t="shared" si="17"/>
        <v>2026-03</v>
      </c>
    </row>
    <row r="191" spans="1:19" ht="23" customHeight="1">
      <c r="A191" s="1" t="s">
        <v>248</v>
      </c>
      <c r="B191" s="4">
        <v>46045</v>
      </c>
      <c r="C191" s="1" t="s">
        <v>18</v>
      </c>
      <c r="D191" s="1" t="s">
        <v>65</v>
      </c>
      <c r="E191" s="5">
        <v>49000</v>
      </c>
      <c r="F191" s="1">
        <v>0</v>
      </c>
      <c r="G191" s="4">
        <v>46045</v>
      </c>
      <c r="H191" s="4">
        <v>46050</v>
      </c>
      <c r="I191" s="4">
        <v>46051</v>
      </c>
      <c r="J191" s="4"/>
      <c r="K191" s="1" t="s">
        <v>63</v>
      </c>
      <c r="L191" s="7">
        <f t="shared" si="12"/>
        <v>1</v>
      </c>
      <c r="M191" s="7">
        <f t="shared" si="13"/>
        <v>6</v>
      </c>
      <c r="N191" s="7">
        <f t="shared" si="14"/>
        <v>0</v>
      </c>
      <c r="O191" s="7">
        <f t="shared" si="15"/>
        <v>5</v>
      </c>
      <c r="P191" s="7">
        <f t="shared" si="16"/>
        <v>1</v>
      </c>
      <c r="Q191" s="7" t="str">
        <f>IF(K191="Open",Summary!$B$6-B191,"")</f>
        <v/>
      </c>
      <c r="R191" s="7">
        <f>IF(L191=1,IF(M191&lt;=Summary!$B$5,1,0),"")</f>
        <v>1</v>
      </c>
      <c r="S191" s="1" t="str">
        <f t="shared" si="17"/>
        <v>2026-01</v>
      </c>
    </row>
    <row r="192" spans="1:19" ht="23" customHeight="1">
      <c r="A192" s="1" t="s">
        <v>249</v>
      </c>
      <c r="B192" s="4">
        <v>46081</v>
      </c>
      <c r="C192" s="1" t="s">
        <v>19</v>
      </c>
      <c r="D192" s="1" t="s">
        <v>54</v>
      </c>
      <c r="E192" s="5">
        <v>37000</v>
      </c>
      <c r="F192" s="1">
        <v>0</v>
      </c>
      <c r="G192" s="4">
        <v>46081</v>
      </c>
      <c r="H192" s="4">
        <v>46085</v>
      </c>
      <c r="I192" s="4">
        <v>46086</v>
      </c>
      <c r="J192" s="4"/>
      <c r="K192" s="1" t="s">
        <v>55</v>
      </c>
      <c r="L192" s="7">
        <f t="shared" si="12"/>
        <v>1</v>
      </c>
      <c r="M192" s="7">
        <f t="shared" si="13"/>
        <v>5</v>
      </c>
      <c r="N192" s="7">
        <f t="shared" si="14"/>
        <v>0</v>
      </c>
      <c r="O192" s="7">
        <f t="shared" si="15"/>
        <v>4</v>
      </c>
      <c r="P192" s="7">
        <f t="shared" si="16"/>
        <v>1</v>
      </c>
      <c r="Q192" s="7" t="str">
        <f>IF(K192="Open",Summary!$B$6-B192,"")</f>
        <v/>
      </c>
      <c r="R192" s="7">
        <f>IF(L192=1,IF(M192&lt;=Summary!$B$5,1,0),"")</f>
        <v>1</v>
      </c>
      <c r="S192" s="1" t="str">
        <f t="shared" si="17"/>
        <v>2026-02</v>
      </c>
    </row>
    <row r="193" spans="1:19" ht="23" customHeight="1">
      <c r="A193" s="1" t="s">
        <v>250</v>
      </c>
      <c r="B193" s="4">
        <v>46100</v>
      </c>
      <c r="C193" s="1" t="s">
        <v>18</v>
      </c>
      <c r="D193" s="1" t="s">
        <v>71</v>
      </c>
      <c r="E193" s="5">
        <v>7000</v>
      </c>
      <c r="F193" s="1">
        <v>1</v>
      </c>
      <c r="G193" s="4">
        <v>46107</v>
      </c>
      <c r="H193" s="4">
        <v>46112</v>
      </c>
      <c r="I193" s="4"/>
      <c r="J193" s="4"/>
      <c r="K193" s="1" t="s">
        <v>69</v>
      </c>
      <c r="L193" s="7">
        <f t="shared" si="12"/>
        <v>0</v>
      </c>
      <c r="M193" s="7" t="str">
        <f t="shared" si="13"/>
        <v/>
      </c>
      <c r="N193" s="7" t="str">
        <f t="shared" si="14"/>
        <v/>
      </c>
      <c r="O193" s="7" t="str">
        <f t="shared" si="15"/>
        <v/>
      </c>
      <c r="P193" s="7" t="str">
        <f t="shared" si="16"/>
        <v/>
      </c>
      <c r="Q193" s="7">
        <f>IF(K193="Open",Summary!$B$6-B193,"")</f>
        <v>12</v>
      </c>
      <c r="R193" s="7" t="str">
        <f>IF(L193=1,IF(M193&lt;=Summary!$B$5,1,0),"")</f>
        <v/>
      </c>
      <c r="S193" s="1" t="str">
        <f t="shared" si="17"/>
        <v>2026-03</v>
      </c>
    </row>
    <row r="194" spans="1:19" ht="23" customHeight="1">
      <c r="A194" s="1" t="s">
        <v>251</v>
      </c>
      <c r="B194" s="4">
        <v>46095</v>
      </c>
      <c r="C194" s="1" t="s">
        <v>18</v>
      </c>
      <c r="D194" s="1" t="s">
        <v>59</v>
      </c>
      <c r="E194" s="5">
        <v>41000</v>
      </c>
      <c r="F194" s="1">
        <v>1</v>
      </c>
      <c r="G194" s="4">
        <v>46103</v>
      </c>
      <c r="H194" s="4">
        <v>46107</v>
      </c>
      <c r="I194" s="4">
        <v>46109</v>
      </c>
      <c r="J194" s="4"/>
      <c r="K194" s="1" t="s">
        <v>63</v>
      </c>
      <c r="L194" s="7">
        <f t="shared" si="12"/>
        <v>1</v>
      </c>
      <c r="M194" s="7">
        <f t="shared" si="13"/>
        <v>14</v>
      </c>
      <c r="N194" s="7">
        <f t="shared" si="14"/>
        <v>8</v>
      </c>
      <c r="O194" s="7">
        <f t="shared" si="15"/>
        <v>4</v>
      </c>
      <c r="P194" s="7">
        <f t="shared" si="16"/>
        <v>2</v>
      </c>
      <c r="Q194" s="7" t="str">
        <f>IF(K194="Open",Summary!$B$6-B194,"")</f>
        <v/>
      </c>
      <c r="R194" s="7">
        <f>IF(L194=1,IF(M194&lt;=Summary!$B$5,1,0),"")</f>
        <v>0</v>
      </c>
      <c r="S194" s="1" t="str">
        <f t="shared" si="17"/>
        <v>2026-03</v>
      </c>
    </row>
    <row r="195" spans="1:19" ht="23" customHeight="1">
      <c r="A195" s="1" t="s">
        <v>252</v>
      </c>
      <c r="B195" s="4">
        <v>46095</v>
      </c>
      <c r="C195" s="1" t="s">
        <v>19</v>
      </c>
      <c r="D195" s="1" t="s">
        <v>54</v>
      </c>
      <c r="E195" s="5">
        <v>46000</v>
      </c>
      <c r="F195" s="1">
        <v>0</v>
      </c>
      <c r="G195" s="4">
        <v>46096</v>
      </c>
      <c r="H195" s="4">
        <v>46101</v>
      </c>
      <c r="I195" s="4">
        <v>46103</v>
      </c>
      <c r="J195" s="4"/>
      <c r="K195" s="1" t="s">
        <v>55</v>
      </c>
      <c r="L195" s="7">
        <f t="shared" si="12"/>
        <v>1</v>
      </c>
      <c r="M195" s="7">
        <f t="shared" si="13"/>
        <v>8</v>
      </c>
      <c r="N195" s="7">
        <f t="shared" si="14"/>
        <v>1</v>
      </c>
      <c r="O195" s="7">
        <f t="shared" si="15"/>
        <v>5</v>
      </c>
      <c r="P195" s="7">
        <f t="shared" si="16"/>
        <v>2</v>
      </c>
      <c r="Q195" s="7" t="str">
        <f>IF(K195="Open",Summary!$B$6-B195,"")</f>
        <v/>
      </c>
      <c r="R195" s="7">
        <f>IF(L195=1,IF(M195&lt;=Summary!$B$5,1,0),"")</f>
        <v>0</v>
      </c>
      <c r="S195" s="1" t="str">
        <f t="shared" si="17"/>
        <v>2026-03</v>
      </c>
    </row>
    <row r="196" spans="1:19" ht="23" customHeight="1">
      <c r="A196" s="1" t="s">
        <v>253</v>
      </c>
      <c r="B196" s="4">
        <v>46050</v>
      </c>
      <c r="C196" s="1" t="s">
        <v>19</v>
      </c>
      <c r="D196" s="1" t="s">
        <v>54</v>
      </c>
      <c r="E196" s="5">
        <v>45000</v>
      </c>
      <c r="F196" s="1">
        <v>0</v>
      </c>
      <c r="G196" s="4">
        <v>46052</v>
      </c>
      <c r="H196" s="4">
        <v>46054</v>
      </c>
      <c r="I196" s="4">
        <v>46056</v>
      </c>
      <c r="J196" s="4"/>
      <c r="K196" s="1" t="s">
        <v>55</v>
      </c>
      <c r="L196" s="7">
        <f t="shared" si="12"/>
        <v>1</v>
      </c>
      <c r="M196" s="7">
        <f t="shared" si="13"/>
        <v>6</v>
      </c>
      <c r="N196" s="7">
        <f t="shared" si="14"/>
        <v>2</v>
      </c>
      <c r="O196" s="7">
        <f t="shared" si="15"/>
        <v>2</v>
      </c>
      <c r="P196" s="7">
        <f t="shared" si="16"/>
        <v>2</v>
      </c>
      <c r="Q196" s="7" t="str">
        <f>IF(K196="Open",Summary!$B$6-B196,"")</f>
        <v/>
      </c>
      <c r="R196" s="7">
        <f>IF(L196=1,IF(M196&lt;=Summary!$B$5,1,0),"")</f>
        <v>1</v>
      </c>
      <c r="S196" s="1" t="str">
        <f t="shared" si="17"/>
        <v>2026-01</v>
      </c>
    </row>
    <row r="197" spans="1:19" ht="23" customHeight="1">
      <c r="A197" s="1" t="s">
        <v>254</v>
      </c>
      <c r="B197" s="4">
        <v>46067</v>
      </c>
      <c r="C197" s="1" t="s">
        <v>18</v>
      </c>
      <c r="D197" s="1" t="s">
        <v>71</v>
      </c>
      <c r="E197" s="5">
        <v>13000</v>
      </c>
      <c r="F197" s="1">
        <v>0</v>
      </c>
      <c r="G197" s="4">
        <v>46067</v>
      </c>
      <c r="H197" s="4">
        <v>46072</v>
      </c>
      <c r="I197" s="4">
        <v>46074</v>
      </c>
      <c r="J197" s="4"/>
      <c r="K197" s="1" t="s">
        <v>55</v>
      </c>
      <c r="L197" s="7">
        <f t="shared" ref="L197:L260" si="18">IF(OR(K197="Approved",K197="Declined"),1,0)</f>
        <v>1</v>
      </c>
      <c r="M197" s="7">
        <f t="shared" ref="M197:M260" si="19">IF(L197=1,I197-B197,"")</f>
        <v>7</v>
      </c>
      <c r="N197" s="7">
        <f t="shared" ref="N197:N260" si="20">IF(L197=1,G197-B197,"")</f>
        <v>0</v>
      </c>
      <c r="O197" s="7">
        <f t="shared" ref="O197:O260" si="21">IF(L197=1,H197-G197,"")</f>
        <v>5</v>
      </c>
      <c r="P197" s="7">
        <f t="shared" ref="P197:P260" si="22">IF(L197=1,I197-H197,"")</f>
        <v>2</v>
      </c>
      <c r="Q197" s="7" t="str">
        <f>IF(K197="Open",Summary!$B$6-B197,"")</f>
        <v/>
      </c>
      <c r="R197" s="7">
        <f>IF(L197=1,IF(M197&lt;=Summary!$B$5,1,0),"")</f>
        <v>1</v>
      </c>
      <c r="S197" s="1" t="str">
        <f t="shared" ref="S197:S260" si="23">TEXT(B197,"yyyy-mm")</f>
        <v>2026-02</v>
      </c>
    </row>
    <row r="198" spans="1:19" ht="23" customHeight="1">
      <c r="A198" s="1" t="s">
        <v>255</v>
      </c>
      <c r="B198" s="4">
        <v>46073</v>
      </c>
      <c r="C198" s="1" t="s">
        <v>18</v>
      </c>
      <c r="D198" s="1" t="s">
        <v>62</v>
      </c>
      <c r="E198" s="5">
        <v>41000</v>
      </c>
      <c r="F198" s="1">
        <v>1</v>
      </c>
      <c r="G198" s="4">
        <v>46083</v>
      </c>
      <c r="H198" s="4">
        <v>46087</v>
      </c>
      <c r="I198" s="4">
        <v>46088</v>
      </c>
      <c r="J198" s="4"/>
      <c r="K198" s="1" t="s">
        <v>55</v>
      </c>
      <c r="L198" s="7">
        <f t="shared" si="18"/>
        <v>1</v>
      </c>
      <c r="M198" s="7">
        <f t="shared" si="19"/>
        <v>15</v>
      </c>
      <c r="N198" s="7">
        <f t="shared" si="20"/>
        <v>10</v>
      </c>
      <c r="O198" s="7">
        <f t="shared" si="21"/>
        <v>4</v>
      </c>
      <c r="P198" s="7">
        <f t="shared" si="22"/>
        <v>1</v>
      </c>
      <c r="Q198" s="7" t="str">
        <f>IF(K198="Open",Summary!$B$6-B198,"")</f>
        <v/>
      </c>
      <c r="R198" s="7">
        <f>IF(L198=1,IF(M198&lt;=Summary!$B$5,1,0),"")</f>
        <v>0</v>
      </c>
      <c r="S198" s="1" t="str">
        <f t="shared" si="23"/>
        <v>2026-02</v>
      </c>
    </row>
    <row r="199" spans="1:19" ht="23" customHeight="1">
      <c r="A199" s="1" t="s">
        <v>256</v>
      </c>
      <c r="B199" s="4">
        <v>46062</v>
      </c>
      <c r="C199" s="1" t="s">
        <v>18</v>
      </c>
      <c r="D199" s="1" t="s">
        <v>62</v>
      </c>
      <c r="E199" s="5">
        <v>5000</v>
      </c>
      <c r="F199" s="1">
        <v>0</v>
      </c>
      <c r="G199" s="4">
        <v>46063</v>
      </c>
      <c r="H199" s="4">
        <v>46070</v>
      </c>
      <c r="I199" s="4">
        <v>46071</v>
      </c>
      <c r="J199" s="4"/>
      <c r="K199" s="1" t="s">
        <v>63</v>
      </c>
      <c r="L199" s="7">
        <f t="shared" si="18"/>
        <v>1</v>
      </c>
      <c r="M199" s="7">
        <f t="shared" si="19"/>
        <v>9</v>
      </c>
      <c r="N199" s="7">
        <f t="shared" si="20"/>
        <v>1</v>
      </c>
      <c r="O199" s="7">
        <f t="shared" si="21"/>
        <v>7</v>
      </c>
      <c r="P199" s="7">
        <f t="shared" si="22"/>
        <v>1</v>
      </c>
      <c r="Q199" s="7" t="str">
        <f>IF(K199="Open",Summary!$B$6-B199,"")</f>
        <v/>
      </c>
      <c r="R199" s="7">
        <f>IF(L199=1,IF(M199&lt;=Summary!$B$5,1,0),"")</f>
        <v>0</v>
      </c>
      <c r="S199" s="1" t="str">
        <f t="shared" si="23"/>
        <v>2026-02</v>
      </c>
    </row>
    <row r="200" spans="1:19" ht="23" customHeight="1">
      <c r="A200" s="1" t="s">
        <v>257</v>
      </c>
      <c r="B200" s="4">
        <v>46023</v>
      </c>
      <c r="C200" s="1" t="s">
        <v>18</v>
      </c>
      <c r="D200" s="1" t="s">
        <v>62</v>
      </c>
      <c r="E200" s="5">
        <v>21000</v>
      </c>
      <c r="F200" s="1">
        <v>1</v>
      </c>
      <c r="G200" s="4">
        <v>46030</v>
      </c>
      <c r="H200" s="4">
        <v>46036</v>
      </c>
      <c r="I200" s="4">
        <v>46038</v>
      </c>
      <c r="J200" s="4"/>
      <c r="K200" s="1" t="s">
        <v>63</v>
      </c>
      <c r="L200" s="7">
        <f t="shared" si="18"/>
        <v>1</v>
      </c>
      <c r="M200" s="7">
        <f t="shared" si="19"/>
        <v>15</v>
      </c>
      <c r="N200" s="7">
        <f t="shared" si="20"/>
        <v>7</v>
      </c>
      <c r="O200" s="7">
        <f t="shared" si="21"/>
        <v>6</v>
      </c>
      <c r="P200" s="7">
        <f t="shared" si="22"/>
        <v>2</v>
      </c>
      <c r="Q200" s="7" t="str">
        <f>IF(K200="Open",Summary!$B$6-B200,"")</f>
        <v/>
      </c>
      <c r="R200" s="7">
        <f>IF(L200=1,IF(M200&lt;=Summary!$B$5,1,0),"")</f>
        <v>0</v>
      </c>
      <c r="S200" s="1" t="str">
        <f t="shared" si="23"/>
        <v>2026-01</v>
      </c>
    </row>
    <row r="201" spans="1:19" ht="23" customHeight="1">
      <c r="A201" s="1" t="s">
        <v>258</v>
      </c>
      <c r="B201" s="4">
        <v>46109</v>
      </c>
      <c r="C201" s="1" t="s">
        <v>19</v>
      </c>
      <c r="D201" s="1" t="s">
        <v>54</v>
      </c>
      <c r="E201" s="5">
        <v>44000</v>
      </c>
      <c r="F201" s="1">
        <v>0</v>
      </c>
      <c r="G201" s="4">
        <v>46110</v>
      </c>
      <c r="H201" s="4"/>
      <c r="I201" s="4"/>
      <c r="J201" s="4"/>
      <c r="K201" s="1" t="s">
        <v>69</v>
      </c>
      <c r="L201" s="7">
        <f t="shared" si="18"/>
        <v>0</v>
      </c>
      <c r="M201" s="7" t="str">
        <f t="shared" si="19"/>
        <v/>
      </c>
      <c r="N201" s="7" t="str">
        <f t="shared" si="20"/>
        <v/>
      </c>
      <c r="O201" s="7" t="str">
        <f t="shared" si="21"/>
        <v/>
      </c>
      <c r="P201" s="7" t="str">
        <f t="shared" si="22"/>
        <v/>
      </c>
      <c r="Q201" s="7">
        <f>IF(K201="Open",Summary!$B$6-B201,"")</f>
        <v>3</v>
      </c>
      <c r="R201" s="7" t="str">
        <f>IF(L201=1,IF(M201&lt;=Summary!$B$5,1,0),"")</f>
        <v/>
      </c>
      <c r="S201" s="1" t="str">
        <f t="shared" si="23"/>
        <v>2026-03</v>
      </c>
    </row>
    <row r="202" spans="1:19" ht="23" customHeight="1">
      <c r="A202" s="1" t="s">
        <v>259</v>
      </c>
      <c r="B202" s="4">
        <v>46105</v>
      </c>
      <c r="C202" s="1" t="s">
        <v>19</v>
      </c>
      <c r="D202" s="1" t="s">
        <v>54</v>
      </c>
      <c r="E202" s="5">
        <v>43000</v>
      </c>
      <c r="F202" s="1">
        <v>0</v>
      </c>
      <c r="G202" s="4">
        <v>46107</v>
      </c>
      <c r="H202" s="4">
        <v>46109</v>
      </c>
      <c r="I202" s="4">
        <v>46110</v>
      </c>
      <c r="J202" s="4"/>
      <c r="K202" s="1" t="s">
        <v>55</v>
      </c>
      <c r="L202" s="7">
        <f t="shared" si="18"/>
        <v>1</v>
      </c>
      <c r="M202" s="7">
        <f t="shared" si="19"/>
        <v>5</v>
      </c>
      <c r="N202" s="7">
        <f t="shared" si="20"/>
        <v>2</v>
      </c>
      <c r="O202" s="7">
        <f t="shared" si="21"/>
        <v>2</v>
      </c>
      <c r="P202" s="7">
        <f t="shared" si="22"/>
        <v>1</v>
      </c>
      <c r="Q202" s="7" t="str">
        <f>IF(K202="Open",Summary!$B$6-B202,"")</f>
        <v/>
      </c>
      <c r="R202" s="7">
        <f>IF(L202=1,IF(M202&lt;=Summary!$B$5,1,0),"")</f>
        <v>1</v>
      </c>
      <c r="S202" s="1" t="str">
        <f t="shared" si="23"/>
        <v>2026-03</v>
      </c>
    </row>
    <row r="203" spans="1:19" ht="23" customHeight="1">
      <c r="A203" s="1" t="s">
        <v>260</v>
      </c>
      <c r="B203" s="4">
        <v>46033</v>
      </c>
      <c r="C203" s="1" t="s">
        <v>18</v>
      </c>
      <c r="D203" s="1" t="s">
        <v>59</v>
      </c>
      <c r="E203" s="5">
        <v>44000</v>
      </c>
      <c r="F203" s="1">
        <v>0</v>
      </c>
      <c r="G203" s="4">
        <v>46035</v>
      </c>
      <c r="H203" s="4">
        <v>46040</v>
      </c>
      <c r="I203" s="4">
        <v>46043</v>
      </c>
      <c r="J203" s="4"/>
      <c r="K203" s="1" t="s">
        <v>55</v>
      </c>
      <c r="L203" s="7">
        <f t="shared" si="18"/>
        <v>1</v>
      </c>
      <c r="M203" s="7">
        <f t="shared" si="19"/>
        <v>10</v>
      </c>
      <c r="N203" s="7">
        <f t="shared" si="20"/>
        <v>2</v>
      </c>
      <c r="O203" s="7">
        <f t="shared" si="21"/>
        <v>5</v>
      </c>
      <c r="P203" s="7">
        <f t="shared" si="22"/>
        <v>3</v>
      </c>
      <c r="Q203" s="7" t="str">
        <f>IF(K203="Open",Summary!$B$6-B203,"")</f>
        <v/>
      </c>
      <c r="R203" s="7">
        <f>IF(L203=1,IF(M203&lt;=Summary!$B$5,1,0),"")</f>
        <v>0</v>
      </c>
      <c r="S203" s="1" t="str">
        <f t="shared" si="23"/>
        <v>2026-01</v>
      </c>
    </row>
    <row r="204" spans="1:19" ht="23" customHeight="1">
      <c r="A204" s="1" t="s">
        <v>261</v>
      </c>
      <c r="B204" s="4">
        <v>46080</v>
      </c>
      <c r="C204" s="1" t="s">
        <v>18</v>
      </c>
      <c r="D204" s="1" t="s">
        <v>62</v>
      </c>
      <c r="E204" s="5">
        <v>46000</v>
      </c>
      <c r="F204" s="1">
        <v>0</v>
      </c>
      <c r="G204" s="4">
        <v>46080</v>
      </c>
      <c r="H204" s="4">
        <v>46087</v>
      </c>
      <c r="I204" s="4">
        <v>46088</v>
      </c>
      <c r="J204" s="4"/>
      <c r="K204" s="1" t="s">
        <v>55</v>
      </c>
      <c r="L204" s="7">
        <f t="shared" si="18"/>
        <v>1</v>
      </c>
      <c r="M204" s="7">
        <f t="shared" si="19"/>
        <v>8</v>
      </c>
      <c r="N204" s="7">
        <f t="shared" si="20"/>
        <v>0</v>
      </c>
      <c r="O204" s="7">
        <f t="shared" si="21"/>
        <v>7</v>
      </c>
      <c r="P204" s="7">
        <f t="shared" si="22"/>
        <v>1</v>
      </c>
      <c r="Q204" s="7" t="str">
        <f>IF(K204="Open",Summary!$B$6-B204,"")</f>
        <v/>
      </c>
      <c r="R204" s="7">
        <f>IF(L204=1,IF(M204&lt;=Summary!$B$5,1,0),"")</f>
        <v>0</v>
      </c>
      <c r="S204" s="1" t="str">
        <f t="shared" si="23"/>
        <v>2026-02</v>
      </c>
    </row>
    <row r="205" spans="1:19" ht="23" customHeight="1">
      <c r="A205" s="1" t="s">
        <v>262</v>
      </c>
      <c r="B205" s="4">
        <v>46048</v>
      </c>
      <c r="C205" s="1" t="s">
        <v>18</v>
      </c>
      <c r="D205" s="1" t="s">
        <v>59</v>
      </c>
      <c r="E205" s="5">
        <v>34000</v>
      </c>
      <c r="F205" s="1">
        <v>1</v>
      </c>
      <c r="G205" s="4">
        <v>46057</v>
      </c>
      <c r="H205" s="4">
        <v>46062</v>
      </c>
      <c r="I205" s="4">
        <v>46063</v>
      </c>
      <c r="J205" s="4"/>
      <c r="K205" s="1" t="s">
        <v>55</v>
      </c>
      <c r="L205" s="7">
        <f t="shared" si="18"/>
        <v>1</v>
      </c>
      <c r="M205" s="7">
        <f t="shared" si="19"/>
        <v>15</v>
      </c>
      <c r="N205" s="7">
        <f t="shared" si="20"/>
        <v>9</v>
      </c>
      <c r="O205" s="7">
        <f t="shared" si="21"/>
        <v>5</v>
      </c>
      <c r="P205" s="7">
        <f t="shared" si="22"/>
        <v>1</v>
      </c>
      <c r="Q205" s="7" t="str">
        <f>IF(K205="Open",Summary!$B$6-B205,"")</f>
        <v/>
      </c>
      <c r="R205" s="7">
        <f>IF(L205=1,IF(M205&lt;=Summary!$B$5,1,0),"")</f>
        <v>0</v>
      </c>
      <c r="S205" s="1" t="str">
        <f t="shared" si="23"/>
        <v>2026-01</v>
      </c>
    </row>
    <row r="206" spans="1:19" ht="23" customHeight="1">
      <c r="A206" s="1" t="s">
        <v>263</v>
      </c>
      <c r="B206" s="4">
        <v>46094</v>
      </c>
      <c r="C206" s="1" t="s">
        <v>19</v>
      </c>
      <c r="D206" s="1" t="s">
        <v>54</v>
      </c>
      <c r="E206" s="5">
        <v>14000</v>
      </c>
      <c r="F206" s="1">
        <v>0</v>
      </c>
      <c r="G206" s="4">
        <v>46094</v>
      </c>
      <c r="H206" s="4">
        <v>46098</v>
      </c>
      <c r="I206" s="4">
        <v>46100</v>
      </c>
      <c r="J206" s="4"/>
      <c r="K206" s="1" t="s">
        <v>63</v>
      </c>
      <c r="L206" s="7">
        <f t="shared" si="18"/>
        <v>1</v>
      </c>
      <c r="M206" s="7">
        <f t="shared" si="19"/>
        <v>6</v>
      </c>
      <c r="N206" s="7">
        <f t="shared" si="20"/>
        <v>0</v>
      </c>
      <c r="O206" s="7">
        <f t="shared" si="21"/>
        <v>4</v>
      </c>
      <c r="P206" s="7">
        <f t="shared" si="22"/>
        <v>2</v>
      </c>
      <c r="Q206" s="7" t="str">
        <f>IF(K206="Open",Summary!$B$6-B206,"")</f>
        <v/>
      </c>
      <c r="R206" s="7">
        <f>IF(L206=1,IF(M206&lt;=Summary!$B$5,1,0),"")</f>
        <v>1</v>
      </c>
      <c r="S206" s="1" t="str">
        <f t="shared" si="23"/>
        <v>2026-03</v>
      </c>
    </row>
    <row r="207" spans="1:19" ht="23" customHeight="1">
      <c r="A207" s="1" t="s">
        <v>264</v>
      </c>
      <c r="B207" s="4">
        <v>46060</v>
      </c>
      <c r="C207" s="1" t="s">
        <v>19</v>
      </c>
      <c r="D207" s="1" t="s">
        <v>54</v>
      </c>
      <c r="E207" s="5">
        <v>17000</v>
      </c>
      <c r="F207" s="1">
        <v>0</v>
      </c>
      <c r="G207" s="4">
        <v>46061</v>
      </c>
      <c r="H207" s="4">
        <v>46063</v>
      </c>
      <c r="I207" s="4">
        <v>46066</v>
      </c>
      <c r="J207" s="4"/>
      <c r="K207" s="1" t="s">
        <v>55</v>
      </c>
      <c r="L207" s="7">
        <f t="shared" si="18"/>
        <v>1</v>
      </c>
      <c r="M207" s="7">
        <f t="shared" si="19"/>
        <v>6</v>
      </c>
      <c r="N207" s="7">
        <f t="shared" si="20"/>
        <v>1</v>
      </c>
      <c r="O207" s="7">
        <f t="shared" si="21"/>
        <v>2</v>
      </c>
      <c r="P207" s="7">
        <f t="shared" si="22"/>
        <v>3</v>
      </c>
      <c r="Q207" s="7" t="str">
        <f>IF(K207="Open",Summary!$B$6-B207,"")</f>
        <v/>
      </c>
      <c r="R207" s="7">
        <f>IF(L207=1,IF(M207&lt;=Summary!$B$5,1,0),"")</f>
        <v>1</v>
      </c>
      <c r="S207" s="1" t="str">
        <f t="shared" si="23"/>
        <v>2026-02</v>
      </c>
    </row>
    <row r="208" spans="1:19" ht="23" customHeight="1">
      <c r="A208" s="1" t="s">
        <v>265</v>
      </c>
      <c r="B208" s="4">
        <v>46067</v>
      </c>
      <c r="C208" s="1" t="s">
        <v>19</v>
      </c>
      <c r="D208" s="1" t="s">
        <v>54</v>
      </c>
      <c r="E208" s="5">
        <v>8000</v>
      </c>
      <c r="F208" s="1">
        <v>0</v>
      </c>
      <c r="G208" s="4">
        <v>46069</v>
      </c>
      <c r="H208" s="4">
        <v>46073</v>
      </c>
      <c r="I208" s="4">
        <v>46074</v>
      </c>
      <c r="J208" s="4"/>
      <c r="K208" s="1" t="s">
        <v>55</v>
      </c>
      <c r="L208" s="7">
        <f t="shared" si="18"/>
        <v>1</v>
      </c>
      <c r="M208" s="7">
        <f t="shared" si="19"/>
        <v>7</v>
      </c>
      <c r="N208" s="7">
        <f t="shared" si="20"/>
        <v>2</v>
      </c>
      <c r="O208" s="7">
        <f t="shared" si="21"/>
        <v>4</v>
      </c>
      <c r="P208" s="7">
        <f t="shared" si="22"/>
        <v>1</v>
      </c>
      <c r="Q208" s="7" t="str">
        <f>IF(K208="Open",Summary!$B$6-B208,"")</f>
        <v/>
      </c>
      <c r="R208" s="7">
        <f>IF(L208=1,IF(M208&lt;=Summary!$B$5,1,0),"")</f>
        <v>1</v>
      </c>
      <c r="S208" s="1" t="str">
        <f t="shared" si="23"/>
        <v>2026-02</v>
      </c>
    </row>
    <row r="209" spans="1:19" ht="23" customHeight="1">
      <c r="A209" s="1" t="s">
        <v>266</v>
      </c>
      <c r="B209" s="4">
        <v>46076</v>
      </c>
      <c r="C209" s="1" t="s">
        <v>18</v>
      </c>
      <c r="D209" s="1" t="s">
        <v>62</v>
      </c>
      <c r="E209" s="5">
        <v>17000</v>
      </c>
      <c r="F209" s="1">
        <v>0</v>
      </c>
      <c r="G209" s="4">
        <v>46076</v>
      </c>
      <c r="H209" s="4">
        <v>46084</v>
      </c>
      <c r="I209" s="4">
        <v>46086</v>
      </c>
      <c r="J209" s="4"/>
      <c r="K209" s="1" t="s">
        <v>55</v>
      </c>
      <c r="L209" s="7">
        <f t="shared" si="18"/>
        <v>1</v>
      </c>
      <c r="M209" s="7">
        <f t="shared" si="19"/>
        <v>10</v>
      </c>
      <c r="N209" s="7">
        <f t="shared" si="20"/>
        <v>0</v>
      </c>
      <c r="O209" s="7">
        <f t="shared" si="21"/>
        <v>8</v>
      </c>
      <c r="P209" s="7">
        <f t="shared" si="22"/>
        <v>2</v>
      </c>
      <c r="Q209" s="7" t="str">
        <f>IF(K209="Open",Summary!$B$6-B209,"")</f>
        <v/>
      </c>
      <c r="R209" s="7">
        <f>IF(L209=1,IF(M209&lt;=Summary!$B$5,1,0),"")</f>
        <v>0</v>
      </c>
      <c r="S209" s="1" t="str">
        <f t="shared" si="23"/>
        <v>2026-02</v>
      </c>
    </row>
    <row r="210" spans="1:19" ht="23" customHeight="1">
      <c r="A210" s="1" t="s">
        <v>267</v>
      </c>
      <c r="B210" s="4">
        <v>46062</v>
      </c>
      <c r="C210" s="1" t="s">
        <v>18</v>
      </c>
      <c r="D210" s="1" t="s">
        <v>71</v>
      </c>
      <c r="E210" s="5">
        <v>20000</v>
      </c>
      <c r="F210" s="1">
        <v>0</v>
      </c>
      <c r="G210" s="4">
        <v>46064</v>
      </c>
      <c r="H210" s="4">
        <v>46066</v>
      </c>
      <c r="I210" s="4">
        <v>46067</v>
      </c>
      <c r="J210" s="4"/>
      <c r="K210" s="1" t="s">
        <v>55</v>
      </c>
      <c r="L210" s="7">
        <f t="shared" si="18"/>
        <v>1</v>
      </c>
      <c r="M210" s="7">
        <f t="shared" si="19"/>
        <v>5</v>
      </c>
      <c r="N210" s="7">
        <f t="shared" si="20"/>
        <v>2</v>
      </c>
      <c r="O210" s="7">
        <f t="shared" si="21"/>
        <v>2</v>
      </c>
      <c r="P210" s="7">
        <f t="shared" si="22"/>
        <v>1</v>
      </c>
      <c r="Q210" s="7" t="str">
        <f>IF(K210="Open",Summary!$B$6-B210,"")</f>
        <v/>
      </c>
      <c r="R210" s="7">
        <f>IF(L210=1,IF(M210&lt;=Summary!$B$5,1,0),"")</f>
        <v>1</v>
      </c>
      <c r="S210" s="1" t="str">
        <f t="shared" si="23"/>
        <v>2026-02</v>
      </c>
    </row>
    <row r="211" spans="1:19" ht="23" customHeight="1">
      <c r="A211" s="1" t="s">
        <v>268</v>
      </c>
      <c r="B211" s="4">
        <v>46027</v>
      </c>
      <c r="C211" s="1" t="s">
        <v>19</v>
      </c>
      <c r="D211" s="1" t="s">
        <v>54</v>
      </c>
      <c r="E211" s="5">
        <v>46000</v>
      </c>
      <c r="F211" s="1">
        <v>1</v>
      </c>
      <c r="G211" s="4">
        <v>46035</v>
      </c>
      <c r="H211" s="4">
        <v>46038</v>
      </c>
      <c r="I211" s="4">
        <v>46039</v>
      </c>
      <c r="J211" s="4"/>
      <c r="K211" s="1" t="s">
        <v>63</v>
      </c>
      <c r="L211" s="7">
        <f t="shared" si="18"/>
        <v>1</v>
      </c>
      <c r="M211" s="7">
        <f t="shared" si="19"/>
        <v>12</v>
      </c>
      <c r="N211" s="7">
        <f t="shared" si="20"/>
        <v>8</v>
      </c>
      <c r="O211" s="7">
        <f t="shared" si="21"/>
        <v>3</v>
      </c>
      <c r="P211" s="7">
        <f t="shared" si="22"/>
        <v>1</v>
      </c>
      <c r="Q211" s="7" t="str">
        <f>IF(K211="Open",Summary!$B$6-B211,"")</f>
        <v/>
      </c>
      <c r="R211" s="7">
        <f>IF(L211=1,IF(M211&lt;=Summary!$B$5,1,0),"")</f>
        <v>0</v>
      </c>
      <c r="S211" s="1" t="str">
        <f t="shared" si="23"/>
        <v>2026-01</v>
      </c>
    </row>
    <row r="212" spans="1:19" ht="23" customHeight="1">
      <c r="A212" s="1" t="s">
        <v>269</v>
      </c>
      <c r="B212" s="4">
        <v>46076</v>
      </c>
      <c r="C212" s="1" t="s">
        <v>19</v>
      </c>
      <c r="D212" s="1" t="s">
        <v>54</v>
      </c>
      <c r="E212" s="5">
        <v>12000</v>
      </c>
      <c r="F212" s="1">
        <v>0</v>
      </c>
      <c r="G212" s="4">
        <v>46078</v>
      </c>
      <c r="H212" s="4">
        <v>46079</v>
      </c>
      <c r="I212" s="4">
        <v>46082</v>
      </c>
      <c r="J212" s="4"/>
      <c r="K212" s="1" t="s">
        <v>55</v>
      </c>
      <c r="L212" s="7">
        <f t="shared" si="18"/>
        <v>1</v>
      </c>
      <c r="M212" s="7">
        <f t="shared" si="19"/>
        <v>6</v>
      </c>
      <c r="N212" s="7">
        <f t="shared" si="20"/>
        <v>2</v>
      </c>
      <c r="O212" s="7">
        <f t="shared" si="21"/>
        <v>1</v>
      </c>
      <c r="P212" s="7">
        <f t="shared" si="22"/>
        <v>3</v>
      </c>
      <c r="Q212" s="7" t="str">
        <f>IF(K212="Open",Summary!$B$6-B212,"")</f>
        <v/>
      </c>
      <c r="R212" s="7">
        <f>IF(L212=1,IF(M212&lt;=Summary!$B$5,1,0),"")</f>
        <v>1</v>
      </c>
      <c r="S212" s="1" t="str">
        <f t="shared" si="23"/>
        <v>2026-02</v>
      </c>
    </row>
    <row r="213" spans="1:19" ht="23" customHeight="1">
      <c r="A213" s="1" t="s">
        <v>270</v>
      </c>
      <c r="B213" s="4">
        <v>46090</v>
      </c>
      <c r="C213" s="1" t="s">
        <v>18</v>
      </c>
      <c r="D213" s="1" t="s">
        <v>62</v>
      </c>
      <c r="E213" s="5">
        <v>32000</v>
      </c>
      <c r="F213" s="1">
        <v>1</v>
      </c>
      <c r="G213" s="4"/>
      <c r="H213" s="4"/>
      <c r="I213" s="4"/>
      <c r="J213" s="4">
        <v>46095</v>
      </c>
      <c r="K213" s="1" t="s">
        <v>86</v>
      </c>
      <c r="L213" s="7">
        <f t="shared" si="18"/>
        <v>0</v>
      </c>
      <c r="M213" s="7" t="str">
        <f t="shared" si="19"/>
        <v/>
      </c>
      <c r="N213" s="7" t="str">
        <f t="shared" si="20"/>
        <v/>
      </c>
      <c r="O213" s="7" t="str">
        <f t="shared" si="21"/>
        <v/>
      </c>
      <c r="P213" s="7" t="str">
        <f t="shared" si="22"/>
        <v/>
      </c>
      <c r="Q213" s="7" t="str">
        <f>IF(K213="Open",Summary!$B$6-B213,"")</f>
        <v/>
      </c>
      <c r="R213" s="7" t="str">
        <f>IF(L213=1,IF(M213&lt;=Summary!$B$5,1,0),"")</f>
        <v/>
      </c>
      <c r="S213" s="1" t="str">
        <f t="shared" si="23"/>
        <v>2026-03</v>
      </c>
    </row>
    <row r="214" spans="1:19" ht="23" customHeight="1">
      <c r="A214" s="1" t="s">
        <v>271</v>
      </c>
      <c r="B214" s="4">
        <v>46070</v>
      </c>
      <c r="C214" s="1" t="s">
        <v>19</v>
      </c>
      <c r="D214" s="1" t="s">
        <v>54</v>
      </c>
      <c r="E214" s="5">
        <v>28000</v>
      </c>
      <c r="F214" s="1">
        <v>0</v>
      </c>
      <c r="G214" s="4">
        <v>46072</v>
      </c>
      <c r="H214" s="4">
        <v>46077</v>
      </c>
      <c r="I214" s="4">
        <v>46080</v>
      </c>
      <c r="J214" s="4"/>
      <c r="K214" s="1" t="s">
        <v>55</v>
      </c>
      <c r="L214" s="7">
        <f t="shared" si="18"/>
        <v>1</v>
      </c>
      <c r="M214" s="7">
        <f t="shared" si="19"/>
        <v>10</v>
      </c>
      <c r="N214" s="7">
        <f t="shared" si="20"/>
        <v>2</v>
      </c>
      <c r="O214" s="7">
        <f t="shared" si="21"/>
        <v>5</v>
      </c>
      <c r="P214" s="7">
        <f t="shared" si="22"/>
        <v>3</v>
      </c>
      <c r="Q214" s="7" t="str">
        <f>IF(K214="Open",Summary!$B$6-B214,"")</f>
        <v/>
      </c>
      <c r="R214" s="7">
        <f>IF(L214=1,IF(M214&lt;=Summary!$B$5,1,0),"")</f>
        <v>0</v>
      </c>
      <c r="S214" s="1" t="str">
        <f t="shared" si="23"/>
        <v>2026-02</v>
      </c>
    </row>
    <row r="215" spans="1:19" ht="23" customHeight="1">
      <c r="A215" s="1" t="s">
        <v>272</v>
      </c>
      <c r="B215" s="4">
        <v>46055</v>
      </c>
      <c r="C215" s="1" t="s">
        <v>18</v>
      </c>
      <c r="D215" s="1" t="s">
        <v>59</v>
      </c>
      <c r="E215" s="5">
        <v>36000</v>
      </c>
      <c r="F215" s="1">
        <v>1</v>
      </c>
      <c r="G215" s="4">
        <v>46058</v>
      </c>
      <c r="H215" s="4">
        <v>46063</v>
      </c>
      <c r="I215" s="4">
        <v>46065</v>
      </c>
      <c r="J215" s="4"/>
      <c r="K215" s="1" t="s">
        <v>63</v>
      </c>
      <c r="L215" s="7">
        <f t="shared" si="18"/>
        <v>1</v>
      </c>
      <c r="M215" s="7">
        <f t="shared" si="19"/>
        <v>10</v>
      </c>
      <c r="N215" s="7">
        <f t="shared" si="20"/>
        <v>3</v>
      </c>
      <c r="O215" s="7">
        <f t="shared" si="21"/>
        <v>5</v>
      </c>
      <c r="P215" s="7">
        <f t="shared" si="22"/>
        <v>2</v>
      </c>
      <c r="Q215" s="7" t="str">
        <f>IF(K215="Open",Summary!$B$6-B215,"")</f>
        <v/>
      </c>
      <c r="R215" s="7">
        <f>IF(L215=1,IF(M215&lt;=Summary!$B$5,1,0),"")</f>
        <v>0</v>
      </c>
      <c r="S215" s="1" t="str">
        <f t="shared" si="23"/>
        <v>2026-02</v>
      </c>
    </row>
    <row r="216" spans="1:19" ht="23" customHeight="1">
      <c r="A216" s="1" t="s">
        <v>273</v>
      </c>
      <c r="B216" s="4">
        <v>46109</v>
      </c>
      <c r="C216" s="1" t="s">
        <v>18</v>
      </c>
      <c r="D216" s="1" t="s">
        <v>71</v>
      </c>
      <c r="E216" s="5">
        <v>36000</v>
      </c>
      <c r="F216" s="1">
        <v>0</v>
      </c>
      <c r="G216" s="4">
        <v>46110</v>
      </c>
      <c r="H216" s="4"/>
      <c r="I216" s="4"/>
      <c r="J216" s="4"/>
      <c r="K216" s="1" t="s">
        <v>69</v>
      </c>
      <c r="L216" s="7">
        <f t="shared" si="18"/>
        <v>0</v>
      </c>
      <c r="M216" s="7" t="str">
        <f t="shared" si="19"/>
        <v/>
      </c>
      <c r="N216" s="7" t="str">
        <f t="shared" si="20"/>
        <v/>
      </c>
      <c r="O216" s="7" t="str">
        <f t="shared" si="21"/>
        <v/>
      </c>
      <c r="P216" s="7" t="str">
        <f t="shared" si="22"/>
        <v/>
      </c>
      <c r="Q216" s="7">
        <f>IF(K216="Open",Summary!$B$6-B216,"")</f>
        <v>3</v>
      </c>
      <c r="R216" s="7" t="str">
        <f>IF(L216=1,IF(M216&lt;=Summary!$B$5,1,0),"")</f>
        <v/>
      </c>
      <c r="S216" s="1" t="str">
        <f t="shared" si="23"/>
        <v>2026-03</v>
      </c>
    </row>
    <row r="217" spans="1:19" ht="23" customHeight="1">
      <c r="A217" s="1" t="s">
        <v>274</v>
      </c>
      <c r="B217" s="4">
        <v>46101</v>
      </c>
      <c r="C217" s="1" t="s">
        <v>19</v>
      </c>
      <c r="D217" s="1" t="s">
        <v>54</v>
      </c>
      <c r="E217" s="5">
        <v>20000</v>
      </c>
      <c r="F217" s="1">
        <v>1</v>
      </c>
      <c r="G217" s="4">
        <v>46111</v>
      </c>
      <c r="H217" s="4"/>
      <c r="I217" s="4"/>
      <c r="J217" s="4"/>
      <c r="K217" s="1" t="s">
        <v>69</v>
      </c>
      <c r="L217" s="7">
        <f t="shared" si="18"/>
        <v>0</v>
      </c>
      <c r="M217" s="7" t="str">
        <f t="shared" si="19"/>
        <v/>
      </c>
      <c r="N217" s="7" t="str">
        <f t="shared" si="20"/>
        <v/>
      </c>
      <c r="O217" s="7" t="str">
        <f t="shared" si="21"/>
        <v/>
      </c>
      <c r="P217" s="7" t="str">
        <f t="shared" si="22"/>
        <v/>
      </c>
      <c r="Q217" s="7">
        <f>IF(K217="Open",Summary!$B$6-B217,"")</f>
        <v>11</v>
      </c>
      <c r="R217" s="7" t="str">
        <f>IF(L217=1,IF(M217&lt;=Summary!$B$5,1,0),"")</f>
        <v/>
      </c>
      <c r="S217" s="1" t="str">
        <f t="shared" si="23"/>
        <v>2026-03</v>
      </c>
    </row>
    <row r="218" spans="1:19" ht="23" customHeight="1">
      <c r="A218" s="1" t="s">
        <v>275</v>
      </c>
      <c r="B218" s="4">
        <v>46076</v>
      </c>
      <c r="C218" s="1" t="s">
        <v>18</v>
      </c>
      <c r="D218" s="1" t="s">
        <v>71</v>
      </c>
      <c r="E218" s="5">
        <v>33000</v>
      </c>
      <c r="F218" s="1">
        <v>0</v>
      </c>
      <c r="G218" s="4">
        <v>46077</v>
      </c>
      <c r="H218" s="4">
        <v>46080</v>
      </c>
      <c r="I218" s="4">
        <v>46081</v>
      </c>
      <c r="J218" s="4"/>
      <c r="K218" s="1" t="s">
        <v>63</v>
      </c>
      <c r="L218" s="7">
        <f t="shared" si="18"/>
        <v>1</v>
      </c>
      <c r="M218" s="7">
        <f t="shared" si="19"/>
        <v>5</v>
      </c>
      <c r="N218" s="7">
        <f t="shared" si="20"/>
        <v>1</v>
      </c>
      <c r="O218" s="7">
        <f t="shared" si="21"/>
        <v>3</v>
      </c>
      <c r="P218" s="7">
        <f t="shared" si="22"/>
        <v>1</v>
      </c>
      <c r="Q218" s="7" t="str">
        <f>IF(K218="Open",Summary!$B$6-B218,"")</f>
        <v/>
      </c>
      <c r="R218" s="7">
        <f>IF(L218=1,IF(M218&lt;=Summary!$B$5,1,0),"")</f>
        <v>1</v>
      </c>
      <c r="S218" s="1" t="str">
        <f t="shared" si="23"/>
        <v>2026-02</v>
      </c>
    </row>
    <row r="219" spans="1:19" ht="23" customHeight="1">
      <c r="A219" s="1" t="s">
        <v>276</v>
      </c>
      <c r="B219" s="4">
        <v>46052</v>
      </c>
      <c r="C219" s="1" t="s">
        <v>19</v>
      </c>
      <c r="D219" s="1" t="s">
        <v>54</v>
      </c>
      <c r="E219" s="5">
        <v>17000</v>
      </c>
      <c r="F219" s="1">
        <v>1</v>
      </c>
      <c r="G219" s="4">
        <v>46055</v>
      </c>
      <c r="H219" s="4">
        <v>46061</v>
      </c>
      <c r="I219" s="4">
        <v>46063</v>
      </c>
      <c r="J219" s="4"/>
      <c r="K219" s="1" t="s">
        <v>63</v>
      </c>
      <c r="L219" s="7">
        <f t="shared" si="18"/>
        <v>1</v>
      </c>
      <c r="M219" s="7">
        <f t="shared" si="19"/>
        <v>11</v>
      </c>
      <c r="N219" s="7">
        <f t="shared" si="20"/>
        <v>3</v>
      </c>
      <c r="O219" s="7">
        <f t="shared" si="21"/>
        <v>6</v>
      </c>
      <c r="P219" s="7">
        <f t="shared" si="22"/>
        <v>2</v>
      </c>
      <c r="Q219" s="7" t="str">
        <f>IF(K219="Open",Summary!$B$6-B219,"")</f>
        <v/>
      </c>
      <c r="R219" s="7">
        <f>IF(L219=1,IF(M219&lt;=Summary!$B$5,1,0),"")</f>
        <v>0</v>
      </c>
      <c r="S219" s="1" t="str">
        <f t="shared" si="23"/>
        <v>2026-01</v>
      </c>
    </row>
    <row r="220" spans="1:19" ht="23" customHeight="1">
      <c r="A220" s="1" t="s">
        <v>277</v>
      </c>
      <c r="B220" s="4">
        <v>46078</v>
      </c>
      <c r="C220" s="1" t="s">
        <v>18</v>
      </c>
      <c r="D220" s="1" t="s">
        <v>59</v>
      </c>
      <c r="E220" s="5">
        <v>13000</v>
      </c>
      <c r="F220" s="1">
        <v>1</v>
      </c>
      <c r="G220" s="4">
        <v>46088</v>
      </c>
      <c r="H220" s="4">
        <v>46089</v>
      </c>
      <c r="I220" s="4">
        <v>46091</v>
      </c>
      <c r="J220" s="4"/>
      <c r="K220" s="1" t="s">
        <v>55</v>
      </c>
      <c r="L220" s="7">
        <f t="shared" si="18"/>
        <v>1</v>
      </c>
      <c r="M220" s="7">
        <f t="shared" si="19"/>
        <v>13</v>
      </c>
      <c r="N220" s="7">
        <f t="shared" si="20"/>
        <v>10</v>
      </c>
      <c r="O220" s="7">
        <f t="shared" si="21"/>
        <v>1</v>
      </c>
      <c r="P220" s="7">
        <f t="shared" si="22"/>
        <v>2</v>
      </c>
      <c r="Q220" s="7" t="str">
        <f>IF(K220="Open",Summary!$B$6-B220,"")</f>
        <v/>
      </c>
      <c r="R220" s="7">
        <f>IF(L220=1,IF(M220&lt;=Summary!$B$5,1,0),"")</f>
        <v>0</v>
      </c>
      <c r="S220" s="1" t="str">
        <f t="shared" si="23"/>
        <v>2026-02</v>
      </c>
    </row>
    <row r="221" spans="1:19" ht="23" customHeight="1">
      <c r="A221" s="1" t="s">
        <v>278</v>
      </c>
      <c r="B221" s="4">
        <v>46093</v>
      </c>
      <c r="C221" s="1" t="s">
        <v>18</v>
      </c>
      <c r="D221" s="1" t="s">
        <v>59</v>
      </c>
      <c r="E221" s="5">
        <v>34000</v>
      </c>
      <c r="F221" s="1">
        <v>1</v>
      </c>
      <c r="G221" s="4">
        <v>46097</v>
      </c>
      <c r="H221" s="4">
        <v>46103</v>
      </c>
      <c r="I221" s="4">
        <v>46104</v>
      </c>
      <c r="J221" s="4"/>
      <c r="K221" s="1" t="s">
        <v>55</v>
      </c>
      <c r="L221" s="7">
        <f t="shared" si="18"/>
        <v>1</v>
      </c>
      <c r="M221" s="7">
        <f t="shared" si="19"/>
        <v>11</v>
      </c>
      <c r="N221" s="7">
        <f t="shared" si="20"/>
        <v>4</v>
      </c>
      <c r="O221" s="7">
        <f t="shared" si="21"/>
        <v>6</v>
      </c>
      <c r="P221" s="7">
        <f t="shared" si="22"/>
        <v>1</v>
      </c>
      <c r="Q221" s="7" t="str">
        <f>IF(K221="Open",Summary!$B$6-B221,"")</f>
        <v/>
      </c>
      <c r="R221" s="7">
        <f>IF(L221=1,IF(M221&lt;=Summary!$B$5,1,0),"")</f>
        <v>0</v>
      </c>
      <c r="S221" s="1" t="str">
        <f t="shared" si="23"/>
        <v>2026-03</v>
      </c>
    </row>
    <row r="222" spans="1:19" ht="23" customHeight="1">
      <c r="A222" s="1" t="s">
        <v>279</v>
      </c>
      <c r="B222" s="4">
        <v>46026</v>
      </c>
      <c r="C222" s="1" t="s">
        <v>18</v>
      </c>
      <c r="D222" s="1" t="s">
        <v>59</v>
      </c>
      <c r="E222" s="5">
        <v>27000</v>
      </c>
      <c r="F222" s="1">
        <v>0</v>
      </c>
      <c r="G222" s="4">
        <v>46027</v>
      </c>
      <c r="H222" s="4">
        <v>46032</v>
      </c>
      <c r="I222" s="4">
        <v>46034</v>
      </c>
      <c r="J222" s="4"/>
      <c r="K222" s="1" t="s">
        <v>55</v>
      </c>
      <c r="L222" s="7">
        <f t="shared" si="18"/>
        <v>1</v>
      </c>
      <c r="M222" s="7">
        <f t="shared" si="19"/>
        <v>8</v>
      </c>
      <c r="N222" s="7">
        <f t="shared" si="20"/>
        <v>1</v>
      </c>
      <c r="O222" s="7">
        <f t="shared" si="21"/>
        <v>5</v>
      </c>
      <c r="P222" s="7">
        <f t="shared" si="22"/>
        <v>2</v>
      </c>
      <c r="Q222" s="7" t="str">
        <f>IF(K222="Open",Summary!$B$6-B222,"")</f>
        <v/>
      </c>
      <c r="R222" s="7">
        <f>IF(L222=1,IF(M222&lt;=Summary!$B$5,1,0),"")</f>
        <v>0</v>
      </c>
      <c r="S222" s="1" t="str">
        <f t="shared" si="23"/>
        <v>2026-01</v>
      </c>
    </row>
    <row r="223" spans="1:19" ht="23" customHeight="1">
      <c r="A223" s="1" t="s">
        <v>280</v>
      </c>
      <c r="B223" s="4">
        <v>46107</v>
      </c>
      <c r="C223" s="1" t="s">
        <v>19</v>
      </c>
      <c r="D223" s="1" t="s">
        <v>54</v>
      </c>
      <c r="E223" s="5">
        <v>12000</v>
      </c>
      <c r="F223" s="1">
        <v>0</v>
      </c>
      <c r="G223" s="4">
        <v>46109</v>
      </c>
      <c r="H223" s="4"/>
      <c r="I223" s="4"/>
      <c r="J223" s="4"/>
      <c r="K223" s="1" t="s">
        <v>69</v>
      </c>
      <c r="L223" s="7">
        <f t="shared" si="18"/>
        <v>0</v>
      </c>
      <c r="M223" s="7" t="str">
        <f t="shared" si="19"/>
        <v/>
      </c>
      <c r="N223" s="7" t="str">
        <f t="shared" si="20"/>
        <v/>
      </c>
      <c r="O223" s="7" t="str">
        <f t="shared" si="21"/>
        <v/>
      </c>
      <c r="P223" s="7" t="str">
        <f t="shared" si="22"/>
        <v/>
      </c>
      <c r="Q223" s="7">
        <f>IF(K223="Open",Summary!$B$6-B223,"")</f>
        <v>5</v>
      </c>
      <c r="R223" s="7" t="str">
        <f>IF(L223=1,IF(M223&lt;=Summary!$B$5,1,0),"")</f>
        <v/>
      </c>
      <c r="S223" s="1" t="str">
        <f t="shared" si="23"/>
        <v>2026-03</v>
      </c>
    </row>
    <row r="224" spans="1:19" ht="23" customHeight="1">
      <c r="A224" s="1" t="s">
        <v>281</v>
      </c>
      <c r="B224" s="4">
        <v>46067</v>
      </c>
      <c r="C224" s="1" t="s">
        <v>19</v>
      </c>
      <c r="D224" s="1" t="s">
        <v>54</v>
      </c>
      <c r="E224" s="5">
        <v>37000</v>
      </c>
      <c r="F224" s="1">
        <v>0</v>
      </c>
      <c r="G224" s="4">
        <v>46067</v>
      </c>
      <c r="H224" s="4">
        <v>46069</v>
      </c>
      <c r="I224" s="4">
        <v>46072</v>
      </c>
      <c r="J224" s="4"/>
      <c r="K224" s="1" t="s">
        <v>63</v>
      </c>
      <c r="L224" s="7">
        <f t="shared" si="18"/>
        <v>1</v>
      </c>
      <c r="M224" s="7">
        <f t="shared" si="19"/>
        <v>5</v>
      </c>
      <c r="N224" s="7">
        <f t="shared" si="20"/>
        <v>0</v>
      </c>
      <c r="O224" s="7">
        <f t="shared" si="21"/>
        <v>2</v>
      </c>
      <c r="P224" s="7">
        <f t="shared" si="22"/>
        <v>3</v>
      </c>
      <c r="Q224" s="7" t="str">
        <f>IF(K224="Open",Summary!$B$6-B224,"")</f>
        <v/>
      </c>
      <c r="R224" s="7">
        <f>IF(L224=1,IF(M224&lt;=Summary!$B$5,1,0),"")</f>
        <v>1</v>
      </c>
      <c r="S224" s="1" t="str">
        <f t="shared" si="23"/>
        <v>2026-02</v>
      </c>
    </row>
    <row r="225" spans="1:19" ht="23" customHeight="1">
      <c r="A225" s="1" t="s">
        <v>282</v>
      </c>
      <c r="B225" s="4">
        <v>46091</v>
      </c>
      <c r="C225" s="1" t="s">
        <v>19</v>
      </c>
      <c r="D225" s="1" t="s">
        <v>54</v>
      </c>
      <c r="E225" s="5">
        <v>47000</v>
      </c>
      <c r="F225" s="1">
        <v>0</v>
      </c>
      <c r="G225" s="4">
        <v>46093</v>
      </c>
      <c r="H225" s="4">
        <v>46099</v>
      </c>
      <c r="I225" s="4">
        <v>46101</v>
      </c>
      <c r="J225" s="4"/>
      <c r="K225" s="1" t="s">
        <v>55</v>
      </c>
      <c r="L225" s="7">
        <f t="shared" si="18"/>
        <v>1</v>
      </c>
      <c r="M225" s="7">
        <f t="shared" si="19"/>
        <v>10</v>
      </c>
      <c r="N225" s="7">
        <f t="shared" si="20"/>
        <v>2</v>
      </c>
      <c r="O225" s="7">
        <f t="shared" si="21"/>
        <v>6</v>
      </c>
      <c r="P225" s="7">
        <f t="shared" si="22"/>
        <v>2</v>
      </c>
      <c r="Q225" s="7" t="str">
        <f>IF(K225="Open",Summary!$B$6-B225,"")</f>
        <v/>
      </c>
      <c r="R225" s="7">
        <f>IF(L225=1,IF(M225&lt;=Summary!$B$5,1,0),"")</f>
        <v>0</v>
      </c>
      <c r="S225" s="1" t="str">
        <f t="shared" si="23"/>
        <v>2026-03</v>
      </c>
    </row>
    <row r="226" spans="1:19" ht="23" customHeight="1">
      <c r="A226" s="1" t="s">
        <v>283</v>
      </c>
      <c r="B226" s="4">
        <v>46062</v>
      </c>
      <c r="C226" s="1" t="s">
        <v>18</v>
      </c>
      <c r="D226" s="1" t="s">
        <v>65</v>
      </c>
      <c r="E226" s="5">
        <v>30000</v>
      </c>
      <c r="F226" s="1">
        <v>0</v>
      </c>
      <c r="G226" s="4">
        <v>46062</v>
      </c>
      <c r="H226" s="4">
        <v>46063</v>
      </c>
      <c r="I226" s="4">
        <v>46066</v>
      </c>
      <c r="J226" s="4"/>
      <c r="K226" s="1" t="s">
        <v>55</v>
      </c>
      <c r="L226" s="7">
        <f t="shared" si="18"/>
        <v>1</v>
      </c>
      <c r="M226" s="7">
        <f t="shared" si="19"/>
        <v>4</v>
      </c>
      <c r="N226" s="7">
        <f t="shared" si="20"/>
        <v>0</v>
      </c>
      <c r="O226" s="7">
        <f t="shared" si="21"/>
        <v>1</v>
      </c>
      <c r="P226" s="7">
        <f t="shared" si="22"/>
        <v>3</v>
      </c>
      <c r="Q226" s="7" t="str">
        <f>IF(K226="Open",Summary!$B$6-B226,"")</f>
        <v/>
      </c>
      <c r="R226" s="7">
        <f>IF(L226=1,IF(M226&lt;=Summary!$B$5,1,0),"")</f>
        <v>1</v>
      </c>
      <c r="S226" s="1" t="str">
        <f t="shared" si="23"/>
        <v>2026-02</v>
      </c>
    </row>
    <row r="227" spans="1:19" ht="23" customHeight="1">
      <c r="A227" s="1" t="s">
        <v>284</v>
      </c>
      <c r="B227" s="4">
        <v>46084</v>
      </c>
      <c r="C227" s="1" t="s">
        <v>18</v>
      </c>
      <c r="D227" s="1" t="s">
        <v>59</v>
      </c>
      <c r="E227" s="5">
        <v>9000</v>
      </c>
      <c r="F227" s="1">
        <v>1</v>
      </c>
      <c r="G227" s="4">
        <v>46092</v>
      </c>
      <c r="H227" s="4">
        <v>46095</v>
      </c>
      <c r="I227" s="4">
        <v>46098</v>
      </c>
      <c r="J227" s="4"/>
      <c r="K227" s="1" t="s">
        <v>55</v>
      </c>
      <c r="L227" s="7">
        <f t="shared" si="18"/>
        <v>1</v>
      </c>
      <c r="M227" s="7">
        <f t="shared" si="19"/>
        <v>14</v>
      </c>
      <c r="N227" s="7">
        <f t="shared" si="20"/>
        <v>8</v>
      </c>
      <c r="O227" s="7">
        <f t="shared" si="21"/>
        <v>3</v>
      </c>
      <c r="P227" s="7">
        <f t="shared" si="22"/>
        <v>3</v>
      </c>
      <c r="Q227" s="7" t="str">
        <f>IF(K227="Open",Summary!$B$6-B227,"")</f>
        <v/>
      </c>
      <c r="R227" s="7">
        <f>IF(L227=1,IF(M227&lt;=Summary!$B$5,1,0),"")</f>
        <v>0</v>
      </c>
      <c r="S227" s="1" t="str">
        <f t="shared" si="23"/>
        <v>2026-03</v>
      </c>
    </row>
    <row r="228" spans="1:19" ht="23" customHeight="1">
      <c r="A228" s="1" t="s">
        <v>285</v>
      </c>
      <c r="B228" s="4">
        <v>46064</v>
      </c>
      <c r="C228" s="1" t="s">
        <v>18</v>
      </c>
      <c r="D228" s="1" t="s">
        <v>65</v>
      </c>
      <c r="E228" s="5">
        <v>40000</v>
      </c>
      <c r="F228" s="1">
        <v>0</v>
      </c>
      <c r="G228" s="4">
        <v>46064</v>
      </c>
      <c r="H228" s="4">
        <v>46066</v>
      </c>
      <c r="I228" s="4">
        <v>46068</v>
      </c>
      <c r="J228" s="4"/>
      <c r="K228" s="1" t="s">
        <v>55</v>
      </c>
      <c r="L228" s="7">
        <f t="shared" si="18"/>
        <v>1</v>
      </c>
      <c r="M228" s="7">
        <f t="shared" si="19"/>
        <v>4</v>
      </c>
      <c r="N228" s="7">
        <f t="shared" si="20"/>
        <v>0</v>
      </c>
      <c r="O228" s="7">
        <f t="shared" si="21"/>
        <v>2</v>
      </c>
      <c r="P228" s="7">
        <f t="shared" si="22"/>
        <v>2</v>
      </c>
      <c r="Q228" s="7" t="str">
        <f>IF(K228="Open",Summary!$B$6-B228,"")</f>
        <v/>
      </c>
      <c r="R228" s="7">
        <f>IF(L228=1,IF(M228&lt;=Summary!$B$5,1,0),"")</f>
        <v>1</v>
      </c>
      <c r="S228" s="1" t="str">
        <f t="shared" si="23"/>
        <v>2026-02</v>
      </c>
    </row>
    <row r="229" spans="1:19" ht="23" customHeight="1">
      <c r="A229" s="1" t="s">
        <v>286</v>
      </c>
      <c r="B229" s="4">
        <v>46062</v>
      </c>
      <c r="C229" s="1" t="s">
        <v>18</v>
      </c>
      <c r="D229" s="1" t="s">
        <v>62</v>
      </c>
      <c r="E229" s="5">
        <v>30000</v>
      </c>
      <c r="F229" s="1">
        <v>1</v>
      </c>
      <c r="G229" s="4">
        <v>46072</v>
      </c>
      <c r="H229" s="4">
        <v>46075</v>
      </c>
      <c r="I229" s="4">
        <v>46078</v>
      </c>
      <c r="J229" s="4"/>
      <c r="K229" s="1" t="s">
        <v>55</v>
      </c>
      <c r="L229" s="7">
        <f t="shared" si="18"/>
        <v>1</v>
      </c>
      <c r="M229" s="7">
        <f t="shared" si="19"/>
        <v>16</v>
      </c>
      <c r="N229" s="7">
        <f t="shared" si="20"/>
        <v>10</v>
      </c>
      <c r="O229" s="7">
        <f t="shared" si="21"/>
        <v>3</v>
      </c>
      <c r="P229" s="7">
        <f t="shared" si="22"/>
        <v>3</v>
      </c>
      <c r="Q229" s="7" t="str">
        <f>IF(K229="Open",Summary!$B$6-B229,"")</f>
        <v/>
      </c>
      <c r="R229" s="7">
        <f>IF(L229=1,IF(M229&lt;=Summary!$B$5,1,0),"")</f>
        <v>0</v>
      </c>
      <c r="S229" s="1" t="str">
        <f t="shared" si="23"/>
        <v>2026-02</v>
      </c>
    </row>
    <row r="230" spans="1:19" ht="23" customHeight="1">
      <c r="A230" s="1" t="s">
        <v>287</v>
      </c>
      <c r="B230" s="4">
        <v>46089</v>
      </c>
      <c r="C230" s="1" t="s">
        <v>18</v>
      </c>
      <c r="D230" s="1" t="s">
        <v>59</v>
      </c>
      <c r="E230" s="5">
        <v>8000</v>
      </c>
      <c r="F230" s="1">
        <v>1</v>
      </c>
      <c r="G230" s="4"/>
      <c r="H230" s="4"/>
      <c r="I230" s="4"/>
      <c r="J230" s="4">
        <v>46091</v>
      </c>
      <c r="K230" s="1" t="s">
        <v>86</v>
      </c>
      <c r="L230" s="7">
        <f t="shared" si="18"/>
        <v>0</v>
      </c>
      <c r="M230" s="7" t="str">
        <f t="shared" si="19"/>
        <v/>
      </c>
      <c r="N230" s="7" t="str">
        <f t="shared" si="20"/>
        <v/>
      </c>
      <c r="O230" s="7" t="str">
        <f t="shared" si="21"/>
        <v/>
      </c>
      <c r="P230" s="7" t="str">
        <f t="shared" si="22"/>
        <v/>
      </c>
      <c r="Q230" s="7" t="str">
        <f>IF(K230="Open",Summary!$B$6-B230,"")</f>
        <v/>
      </c>
      <c r="R230" s="7" t="str">
        <f>IF(L230=1,IF(M230&lt;=Summary!$B$5,1,0),"")</f>
        <v/>
      </c>
      <c r="S230" s="1" t="str">
        <f t="shared" si="23"/>
        <v>2026-03</v>
      </c>
    </row>
    <row r="231" spans="1:19" ht="23" customHeight="1">
      <c r="A231" s="1" t="s">
        <v>288</v>
      </c>
      <c r="B231" s="4">
        <v>46040</v>
      </c>
      <c r="C231" s="1" t="s">
        <v>18</v>
      </c>
      <c r="D231" s="1" t="s">
        <v>71</v>
      </c>
      <c r="E231" s="5">
        <v>8000</v>
      </c>
      <c r="F231" s="1">
        <v>0</v>
      </c>
      <c r="G231" s="4">
        <v>46041</v>
      </c>
      <c r="H231" s="4">
        <v>46042</v>
      </c>
      <c r="I231" s="4">
        <v>46045</v>
      </c>
      <c r="J231" s="4"/>
      <c r="K231" s="1" t="s">
        <v>55</v>
      </c>
      <c r="L231" s="7">
        <f t="shared" si="18"/>
        <v>1</v>
      </c>
      <c r="M231" s="7">
        <f t="shared" si="19"/>
        <v>5</v>
      </c>
      <c r="N231" s="7">
        <f t="shared" si="20"/>
        <v>1</v>
      </c>
      <c r="O231" s="7">
        <f t="shared" si="21"/>
        <v>1</v>
      </c>
      <c r="P231" s="7">
        <f t="shared" si="22"/>
        <v>3</v>
      </c>
      <c r="Q231" s="7" t="str">
        <f>IF(K231="Open",Summary!$B$6-B231,"")</f>
        <v/>
      </c>
      <c r="R231" s="7">
        <f>IF(L231=1,IF(M231&lt;=Summary!$B$5,1,0),"")</f>
        <v>1</v>
      </c>
      <c r="S231" s="1" t="str">
        <f t="shared" si="23"/>
        <v>2026-01</v>
      </c>
    </row>
    <row r="232" spans="1:19" ht="23" customHeight="1">
      <c r="A232" s="1" t="s">
        <v>289</v>
      </c>
      <c r="B232" s="4">
        <v>46070</v>
      </c>
      <c r="C232" s="1" t="s">
        <v>18</v>
      </c>
      <c r="D232" s="1" t="s">
        <v>59</v>
      </c>
      <c r="E232" s="5">
        <v>11000</v>
      </c>
      <c r="F232" s="1">
        <v>0</v>
      </c>
      <c r="G232" s="4">
        <v>46072</v>
      </c>
      <c r="H232" s="4">
        <v>46078</v>
      </c>
      <c r="I232" s="4">
        <v>46081</v>
      </c>
      <c r="J232" s="4"/>
      <c r="K232" s="1" t="s">
        <v>63</v>
      </c>
      <c r="L232" s="7">
        <f t="shared" si="18"/>
        <v>1</v>
      </c>
      <c r="M232" s="7">
        <f t="shared" si="19"/>
        <v>11</v>
      </c>
      <c r="N232" s="7">
        <f t="shared" si="20"/>
        <v>2</v>
      </c>
      <c r="O232" s="7">
        <f t="shared" si="21"/>
        <v>6</v>
      </c>
      <c r="P232" s="7">
        <f t="shared" si="22"/>
        <v>3</v>
      </c>
      <c r="Q232" s="7" t="str">
        <f>IF(K232="Open",Summary!$B$6-B232,"")</f>
        <v/>
      </c>
      <c r="R232" s="7">
        <f>IF(L232=1,IF(M232&lt;=Summary!$B$5,1,0),"")</f>
        <v>0</v>
      </c>
      <c r="S232" s="1" t="str">
        <f t="shared" si="23"/>
        <v>2026-02</v>
      </c>
    </row>
    <row r="233" spans="1:19" ht="23" customHeight="1">
      <c r="A233" s="1" t="s">
        <v>290</v>
      </c>
      <c r="B233" s="4">
        <v>46027</v>
      </c>
      <c r="C233" s="1" t="s">
        <v>19</v>
      </c>
      <c r="D233" s="1" t="s">
        <v>54</v>
      </c>
      <c r="E233" s="5">
        <v>21000</v>
      </c>
      <c r="F233" s="1">
        <v>0</v>
      </c>
      <c r="G233" s="4">
        <v>46027</v>
      </c>
      <c r="H233" s="4">
        <v>46028</v>
      </c>
      <c r="I233" s="4">
        <v>46031</v>
      </c>
      <c r="J233" s="4"/>
      <c r="K233" s="1" t="s">
        <v>63</v>
      </c>
      <c r="L233" s="7">
        <f t="shared" si="18"/>
        <v>1</v>
      </c>
      <c r="M233" s="7">
        <f t="shared" si="19"/>
        <v>4</v>
      </c>
      <c r="N233" s="7">
        <f t="shared" si="20"/>
        <v>0</v>
      </c>
      <c r="O233" s="7">
        <f t="shared" si="21"/>
        <v>1</v>
      </c>
      <c r="P233" s="7">
        <f t="shared" si="22"/>
        <v>3</v>
      </c>
      <c r="Q233" s="7" t="str">
        <f>IF(K233="Open",Summary!$B$6-B233,"")</f>
        <v/>
      </c>
      <c r="R233" s="7">
        <f>IF(L233=1,IF(M233&lt;=Summary!$B$5,1,0),"")</f>
        <v>1</v>
      </c>
      <c r="S233" s="1" t="str">
        <f t="shared" si="23"/>
        <v>2026-01</v>
      </c>
    </row>
    <row r="234" spans="1:19" ht="23" customHeight="1">
      <c r="A234" s="1" t="s">
        <v>291</v>
      </c>
      <c r="B234" s="4">
        <v>46069</v>
      </c>
      <c r="C234" s="1" t="s">
        <v>18</v>
      </c>
      <c r="D234" s="1" t="s">
        <v>59</v>
      </c>
      <c r="E234" s="5">
        <v>46000</v>
      </c>
      <c r="F234" s="1">
        <v>1</v>
      </c>
      <c r="G234" s="4">
        <v>46073</v>
      </c>
      <c r="H234" s="4">
        <v>46078</v>
      </c>
      <c r="I234" s="4">
        <v>46079</v>
      </c>
      <c r="J234" s="4"/>
      <c r="K234" s="1" t="s">
        <v>63</v>
      </c>
      <c r="L234" s="7">
        <f t="shared" si="18"/>
        <v>1</v>
      </c>
      <c r="M234" s="7">
        <f t="shared" si="19"/>
        <v>10</v>
      </c>
      <c r="N234" s="7">
        <f t="shared" si="20"/>
        <v>4</v>
      </c>
      <c r="O234" s="7">
        <f t="shared" si="21"/>
        <v>5</v>
      </c>
      <c r="P234" s="7">
        <f t="shared" si="22"/>
        <v>1</v>
      </c>
      <c r="Q234" s="7" t="str">
        <f>IF(K234="Open",Summary!$B$6-B234,"")</f>
        <v/>
      </c>
      <c r="R234" s="7">
        <f>IF(L234=1,IF(M234&lt;=Summary!$B$5,1,0),"")</f>
        <v>0</v>
      </c>
      <c r="S234" s="1" t="str">
        <f t="shared" si="23"/>
        <v>2026-02</v>
      </c>
    </row>
    <row r="235" spans="1:19" ht="23" customHeight="1">
      <c r="A235" s="1" t="s">
        <v>292</v>
      </c>
      <c r="B235" s="4">
        <v>46028</v>
      </c>
      <c r="C235" s="1" t="s">
        <v>18</v>
      </c>
      <c r="D235" s="1" t="s">
        <v>71</v>
      </c>
      <c r="E235" s="5">
        <v>43000</v>
      </c>
      <c r="F235" s="1">
        <v>1</v>
      </c>
      <c r="G235" s="4"/>
      <c r="H235" s="4"/>
      <c r="I235" s="4"/>
      <c r="J235" s="4">
        <v>46034</v>
      </c>
      <c r="K235" s="1" t="s">
        <v>86</v>
      </c>
      <c r="L235" s="7">
        <f t="shared" si="18"/>
        <v>0</v>
      </c>
      <c r="M235" s="7" t="str">
        <f t="shared" si="19"/>
        <v/>
      </c>
      <c r="N235" s="7" t="str">
        <f t="shared" si="20"/>
        <v/>
      </c>
      <c r="O235" s="7" t="str">
        <f t="shared" si="21"/>
        <v/>
      </c>
      <c r="P235" s="7" t="str">
        <f t="shared" si="22"/>
        <v/>
      </c>
      <c r="Q235" s="7" t="str">
        <f>IF(K235="Open",Summary!$B$6-B235,"")</f>
        <v/>
      </c>
      <c r="R235" s="7" t="str">
        <f>IF(L235=1,IF(M235&lt;=Summary!$B$5,1,0),"")</f>
        <v/>
      </c>
      <c r="S235" s="1" t="str">
        <f t="shared" si="23"/>
        <v>2026-01</v>
      </c>
    </row>
    <row r="236" spans="1:19" ht="23" customHeight="1">
      <c r="A236" s="1" t="s">
        <v>293</v>
      </c>
      <c r="B236" s="4">
        <v>46069</v>
      </c>
      <c r="C236" s="1" t="s">
        <v>18</v>
      </c>
      <c r="D236" s="1" t="s">
        <v>71</v>
      </c>
      <c r="E236" s="5">
        <v>34000</v>
      </c>
      <c r="F236" s="1">
        <v>1</v>
      </c>
      <c r="G236" s="4">
        <v>46074</v>
      </c>
      <c r="H236" s="4">
        <v>46076</v>
      </c>
      <c r="I236" s="4">
        <v>46079</v>
      </c>
      <c r="J236" s="4"/>
      <c r="K236" s="1" t="s">
        <v>55</v>
      </c>
      <c r="L236" s="7">
        <f t="shared" si="18"/>
        <v>1</v>
      </c>
      <c r="M236" s="7">
        <f t="shared" si="19"/>
        <v>10</v>
      </c>
      <c r="N236" s="7">
        <f t="shared" si="20"/>
        <v>5</v>
      </c>
      <c r="O236" s="7">
        <f t="shared" si="21"/>
        <v>2</v>
      </c>
      <c r="P236" s="7">
        <f t="shared" si="22"/>
        <v>3</v>
      </c>
      <c r="Q236" s="7" t="str">
        <f>IF(K236="Open",Summary!$B$6-B236,"")</f>
        <v/>
      </c>
      <c r="R236" s="7">
        <f>IF(L236=1,IF(M236&lt;=Summary!$B$5,1,0),"")</f>
        <v>0</v>
      </c>
      <c r="S236" s="1" t="str">
        <f t="shared" si="23"/>
        <v>2026-02</v>
      </c>
    </row>
    <row r="237" spans="1:19" ht="23" customHeight="1">
      <c r="A237" s="1" t="s">
        <v>294</v>
      </c>
      <c r="B237" s="4">
        <v>46061</v>
      </c>
      <c r="C237" s="1" t="s">
        <v>18</v>
      </c>
      <c r="D237" s="1" t="s">
        <v>71</v>
      </c>
      <c r="E237" s="5">
        <v>42000</v>
      </c>
      <c r="F237" s="1">
        <v>0</v>
      </c>
      <c r="G237" s="4">
        <v>46063</v>
      </c>
      <c r="H237" s="4">
        <v>46066</v>
      </c>
      <c r="I237" s="4">
        <v>46067</v>
      </c>
      <c r="J237" s="4"/>
      <c r="K237" s="1" t="s">
        <v>63</v>
      </c>
      <c r="L237" s="7">
        <f t="shared" si="18"/>
        <v>1</v>
      </c>
      <c r="M237" s="7">
        <f t="shared" si="19"/>
        <v>6</v>
      </c>
      <c r="N237" s="7">
        <f t="shared" si="20"/>
        <v>2</v>
      </c>
      <c r="O237" s="7">
        <f t="shared" si="21"/>
        <v>3</v>
      </c>
      <c r="P237" s="7">
        <f t="shared" si="22"/>
        <v>1</v>
      </c>
      <c r="Q237" s="7" t="str">
        <f>IF(K237="Open",Summary!$B$6-B237,"")</f>
        <v/>
      </c>
      <c r="R237" s="7">
        <f>IF(L237=1,IF(M237&lt;=Summary!$B$5,1,0),"")</f>
        <v>1</v>
      </c>
      <c r="S237" s="1" t="str">
        <f t="shared" si="23"/>
        <v>2026-02</v>
      </c>
    </row>
    <row r="238" spans="1:19" ht="23" customHeight="1">
      <c r="A238" s="1" t="s">
        <v>295</v>
      </c>
      <c r="B238" s="4">
        <v>46109</v>
      </c>
      <c r="C238" s="1" t="s">
        <v>18</v>
      </c>
      <c r="D238" s="1" t="s">
        <v>71</v>
      </c>
      <c r="E238" s="5">
        <v>12000</v>
      </c>
      <c r="F238" s="1">
        <v>1</v>
      </c>
      <c r="G238" s="4"/>
      <c r="H238" s="4"/>
      <c r="I238" s="4"/>
      <c r="J238" s="4"/>
      <c r="K238" s="1" t="s">
        <v>69</v>
      </c>
      <c r="L238" s="7">
        <f t="shared" si="18"/>
        <v>0</v>
      </c>
      <c r="M238" s="7" t="str">
        <f t="shared" si="19"/>
        <v/>
      </c>
      <c r="N238" s="7" t="str">
        <f t="shared" si="20"/>
        <v/>
      </c>
      <c r="O238" s="7" t="str">
        <f t="shared" si="21"/>
        <v/>
      </c>
      <c r="P238" s="7" t="str">
        <f t="shared" si="22"/>
        <v/>
      </c>
      <c r="Q238" s="7">
        <f>IF(K238="Open",Summary!$B$6-B238,"")</f>
        <v>3</v>
      </c>
      <c r="R238" s="7" t="str">
        <f>IF(L238=1,IF(M238&lt;=Summary!$B$5,1,0),"")</f>
        <v/>
      </c>
      <c r="S238" s="1" t="str">
        <f t="shared" si="23"/>
        <v>2026-03</v>
      </c>
    </row>
    <row r="239" spans="1:19" ht="23" customHeight="1">
      <c r="A239" s="1" t="s">
        <v>296</v>
      </c>
      <c r="B239" s="4">
        <v>46058</v>
      </c>
      <c r="C239" s="1" t="s">
        <v>19</v>
      </c>
      <c r="D239" s="1" t="s">
        <v>54</v>
      </c>
      <c r="E239" s="5">
        <v>37000</v>
      </c>
      <c r="F239" s="1">
        <v>0</v>
      </c>
      <c r="G239" s="4">
        <v>46058</v>
      </c>
      <c r="H239" s="4">
        <v>46060</v>
      </c>
      <c r="I239" s="4">
        <v>46063</v>
      </c>
      <c r="J239" s="4"/>
      <c r="K239" s="1" t="s">
        <v>55</v>
      </c>
      <c r="L239" s="7">
        <f t="shared" si="18"/>
        <v>1</v>
      </c>
      <c r="M239" s="7">
        <f t="shared" si="19"/>
        <v>5</v>
      </c>
      <c r="N239" s="7">
        <f t="shared" si="20"/>
        <v>0</v>
      </c>
      <c r="O239" s="7">
        <f t="shared" si="21"/>
        <v>2</v>
      </c>
      <c r="P239" s="7">
        <f t="shared" si="22"/>
        <v>3</v>
      </c>
      <c r="Q239" s="7" t="str">
        <f>IF(K239="Open",Summary!$B$6-B239,"")</f>
        <v/>
      </c>
      <c r="R239" s="7">
        <f>IF(L239=1,IF(M239&lt;=Summary!$B$5,1,0),"")</f>
        <v>1</v>
      </c>
      <c r="S239" s="1" t="str">
        <f t="shared" si="23"/>
        <v>2026-02</v>
      </c>
    </row>
    <row r="240" spans="1:19" ht="23" customHeight="1">
      <c r="A240" s="1" t="s">
        <v>297</v>
      </c>
      <c r="B240" s="4">
        <v>46062</v>
      </c>
      <c r="C240" s="1" t="s">
        <v>19</v>
      </c>
      <c r="D240" s="1" t="s">
        <v>54</v>
      </c>
      <c r="E240" s="5">
        <v>28000</v>
      </c>
      <c r="F240" s="1">
        <v>0</v>
      </c>
      <c r="G240" s="4">
        <v>46064</v>
      </c>
      <c r="H240" s="4">
        <v>46070</v>
      </c>
      <c r="I240" s="4">
        <v>46071</v>
      </c>
      <c r="J240" s="4"/>
      <c r="K240" s="1" t="s">
        <v>55</v>
      </c>
      <c r="L240" s="7">
        <f t="shared" si="18"/>
        <v>1</v>
      </c>
      <c r="M240" s="7">
        <f t="shared" si="19"/>
        <v>9</v>
      </c>
      <c r="N240" s="7">
        <f t="shared" si="20"/>
        <v>2</v>
      </c>
      <c r="O240" s="7">
        <f t="shared" si="21"/>
        <v>6</v>
      </c>
      <c r="P240" s="7">
        <f t="shared" si="22"/>
        <v>1</v>
      </c>
      <c r="Q240" s="7" t="str">
        <f>IF(K240="Open",Summary!$B$6-B240,"")</f>
        <v/>
      </c>
      <c r="R240" s="7">
        <f>IF(L240=1,IF(M240&lt;=Summary!$B$5,1,0),"")</f>
        <v>0</v>
      </c>
      <c r="S240" s="1" t="str">
        <f t="shared" si="23"/>
        <v>2026-02</v>
      </c>
    </row>
    <row r="241" spans="1:19" ht="23" customHeight="1">
      <c r="A241" s="1" t="s">
        <v>298</v>
      </c>
      <c r="B241" s="4">
        <v>46070</v>
      </c>
      <c r="C241" s="1" t="s">
        <v>19</v>
      </c>
      <c r="D241" s="1" t="s">
        <v>54</v>
      </c>
      <c r="E241" s="5">
        <v>23000</v>
      </c>
      <c r="F241" s="1">
        <v>0</v>
      </c>
      <c r="G241" s="4">
        <v>46071</v>
      </c>
      <c r="H241" s="4">
        <v>46077</v>
      </c>
      <c r="I241" s="4">
        <v>46078</v>
      </c>
      <c r="J241" s="4"/>
      <c r="K241" s="1" t="s">
        <v>55</v>
      </c>
      <c r="L241" s="7">
        <f t="shared" si="18"/>
        <v>1</v>
      </c>
      <c r="M241" s="7">
        <f t="shared" si="19"/>
        <v>8</v>
      </c>
      <c r="N241" s="7">
        <f t="shared" si="20"/>
        <v>1</v>
      </c>
      <c r="O241" s="7">
        <f t="shared" si="21"/>
        <v>6</v>
      </c>
      <c r="P241" s="7">
        <f t="shared" si="22"/>
        <v>1</v>
      </c>
      <c r="Q241" s="7" t="str">
        <f>IF(K241="Open",Summary!$B$6-B241,"")</f>
        <v/>
      </c>
      <c r="R241" s="7">
        <f>IF(L241=1,IF(M241&lt;=Summary!$B$5,1,0),"")</f>
        <v>0</v>
      </c>
      <c r="S241" s="1" t="str">
        <f t="shared" si="23"/>
        <v>2026-02</v>
      </c>
    </row>
    <row r="242" spans="1:19" ht="23" customHeight="1">
      <c r="A242" s="1" t="s">
        <v>299</v>
      </c>
      <c r="B242" s="4">
        <v>46079</v>
      </c>
      <c r="C242" s="1" t="s">
        <v>18</v>
      </c>
      <c r="D242" s="1" t="s">
        <v>62</v>
      </c>
      <c r="E242" s="5">
        <v>38000</v>
      </c>
      <c r="F242" s="1">
        <v>0</v>
      </c>
      <c r="G242" s="4">
        <v>46079</v>
      </c>
      <c r="H242" s="4">
        <v>46086</v>
      </c>
      <c r="I242" s="4">
        <v>46088</v>
      </c>
      <c r="J242" s="4"/>
      <c r="K242" s="1" t="s">
        <v>55</v>
      </c>
      <c r="L242" s="7">
        <f t="shared" si="18"/>
        <v>1</v>
      </c>
      <c r="M242" s="7">
        <f t="shared" si="19"/>
        <v>9</v>
      </c>
      <c r="N242" s="7">
        <f t="shared" si="20"/>
        <v>0</v>
      </c>
      <c r="O242" s="7">
        <f t="shared" si="21"/>
        <v>7</v>
      </c>
      <c r="P242" s="7">
        <f t="shared" si="22"/>
        <v>2</v>
      </c>
      <c r="Q242" s="7" t="str">
        <f>IF(K242="Open",Summary!$B$6-B242,"")</f>
        <v/>
      </c>
      <c r="R242" s="7">
        <f>IF(L242=1,IF(M242&lt;=Summary!$B$5,1,0),"")</f>
        <v>0</v>
      </c>
      <c r="S242" s="1" t="str">
        <f t="shared" si="23"/>
        <v>2026-02</v>
      </c>
    </row>
    <row r="243" spans="1:19" ht="23" customHeight="1">
      <c r="A243" s="1" t="s">
        <v>300</v>
      </c>
      <c r="B243" s="4">
        <v>46104</v>
      </c>
      <c r="C243" s="1" t="s">
        <v>19</v>
      </c>
      <c r="D243" s="1" t="s">
        <v>54</v>
      </c>
      <c r="E243" s="5">
        <v>33000</v>
      </c>
      <c r="F243" s="1">
        <v>0</v>
      </c>
      <c r="G243" s="4">
        <v>46105</v>
      </c>
      <c r="H243" s="4">
        <v>46111</v>
      </c>
      <c r="I243" s="4">
        <v>46112</v>
      </c>
      <c r="J243" s="4"/>
      <c r="K243" s="1" t="s">
        <v>63</v>
      </c>
      <c r="L243" s="7">
        <f t="shared" si="18"/>
        <v>1</v>
      </c>
      <c r="M243" s="7">
        <f t="shared" si="19"/>
        <v>8</v>
      </c>
      <c r="N243" s="7">
        <f t="shared" si="20"/>
        <v>1</v>
      </c>
      <c r="O243" s="7">
        <f t="shared" si="21"/>
        <v>6</v>
      </c>
      <c r="P243" s="7">
        <f t="shared" si="22"/>
        <v>1</v>
      </c>
      <c r="Q243" s="7" t="str">
        <f>IF(K243="Open",Summary!$B$6-B243,"")</f>
        <v/>
      </c>
      <c r="R243" s="7">
        <f>IF(L243=1,IF(M243&lt;=Summary!$B$5,1,0),"")</f>
        <v>0</v>
      </c>
      <c r="S243" s="1" t="str">
        <f t="shared" si="23"/>
        <v>2026-03</v>
      </c>
    </row>
    <row r="244" spans="1:19" ht="23" customHeight="1">
      <c r="A244" s="1" t="s">
        <v>301</v>
      </c>
      <c r="B244" s="4">
        <v>46093</v>
      </c>
      <c r="C244" s="1" t="s">
        <v>19</v>
      </c>
      <c r="D244" s="1" t="s">
        <v>54</v>
      </c>
      <c r="E244" s="5">
        <v>20000</v>
      </c>
      <c r="F244" s="1">
        <v>0</v>
      </c>
      <c r="G244" s="4">
        <v>46093</v>
      </c>
      <c r="H244" s="4">
        <v>46098</v>
      </c>
      <c r="I244" s="4">
        <v>46100</v>
      </c>
      <c r="J244" s="4"/>
      <c r="K244" s="1" t="s">
        <v>63</v>
      </c>
      <c r="L244" s="7">
        <f t="shared" si="18"/>
        <v>1</v>
      </c>
      <c r="M244" s="7">
        <f t="shared" si="19"/>
        <v>7</v>
      </c>
      <c r="N244" s="7">
        <f t="shared" si="20"/>
        <v>0</v>
      </c>
      <c r="O244" s="7">
        <f t="shared" si="21"/>
        <v>5</v>
      </c>
      <c r="P244" s="7">
        <f t="shared" si="22"/>
        <v>2</v>
      </c>
      <c r="Q244" s="7" t="str">
        <f>IF(K244="Open",Summary!$B$6-B244,"")</f>
        <v/>
      </c>
      <c r="R244" s="7">
        <f>IF(L244=1,IF(M244&lt;=Summary!$B$5,1,0),"")</f>
        <v>1</v>
      </c>
      <c r="S244" s="1" t="str">
        <f t="shared" si="23"/>
        <v>2026-03</v>
      </c>
    </row>
    <row r="245" spans="1:19" ht="23" customHeight="1">
      <c r="A245" s="1" t="s">
        <v>302</v>
      </c>
      <c r="B245" s="4">
        <v>46026</v>
      </c>
      <c r="C245" s="1" t="s">
        <v>18</v>
      </c>
      <c r="D245" s="1" t="s">
        <v>71</v>
      </c>
      <c r="E245" s="5">
        <v>48000</v>
      </c>
      <c r="F245" s="1">
        <v>1</v>
      </c>
      <c r="G245" s="4">
        <v>46035</v>
      </c>
      <c r="H245" s="4">
        <v>46040</v>
      </c>
      <c r="I245" s="4">
        <v>46042</v>
      </c>
      <c r="J245" s="4"/>
      <c r="K245" s="1" t="s">
        <v>55</v>
      </c>
      <c r="L245" s="7">
        <f t="shared" si="18"/>
        <v>1</v>
      </c>
      <c r="M245" s="7">
        <f t="shared" si="19"/>
        <v>16</v>
      </c>
      <c r="N245" s="7">
        <f t="shared" si="20"/>
        <v>9</v>
      </c>
      <c r="O245" s="7">
        <f t="shared" si="21"/>
        <v>5</v>
      </c>
      <c r="P245" s="7">
        <f t="shared" si="22"/>
        <v>2</v>
      </c>
      <c r="Q245" s="7" t="str">
        <f>IF(K245="Open",Summary!$B$6-B245,"")</f>
        <v/>
      </c>
      <c r="R245" s="7">
        <f>IF(L245=1,IF(M245&lt;=Summary!$B$5,1,0),"")</f>
        <v>0</v>
      </c>
      <c r="S245" s="1" t="str">
        <f t="shared" si="23"/>
        <v>2026-01</v>
      </c>
    </row>
    <row r="246" spans="1:19" ht="23" customHeight="1">
      <c r="A246" s="1" t="s">
        <v>303</v>
      </c>
      <c r="B246" s="4">
        <v>46111</v>
      </c>
      <c r="C246" s="1" t="s">
        <v>18</v>
      </c>
      <c r="D246" s="1" t="s">
        <v>71</v>
      </c>
      <c r="E246" s="5">
        <v>25000</v>
      </c>
      <c r="F246" s="1">
        <v>0</v>
      </c>
      <c r="G246" s="4">
        <v>46112</v>
      </c>
      <c r="H246" s="4"/>
      <c r="I246" s="4"/>
      <c r="J246" s="4"/>
      <c r="K246" s="1" t="s">
        <v>69</v>
      </c>
      <c r="L246" s="7">
        <f t="shared" si="18"/>
        <v>0</v>
      </c>
      <c r="M246" s="7" t="str">
        <f t="shared" si="19"/>
        <v/>
      </c>
      <c r="N246" s="7" t="str">
        <f t="shared" si="20"/>
        <v/>
      </c>
      <c r="O246" s="7" t="str">
        <f t="shared" si="21"/>
        <v/>
      </c>
      <c r="P246" s="7" t="str">
        <f t="shared" si="22"/>
        <v/>
      </c>
      <c r="Q246" s="7">
        <f>IF(K246="Open",Summary!$B$6-B246,"")</f>
        <v>1</v>
      </c>
      <c r="R246" s="7" t="str">
        <f>IF(L246=1,IF(M246&lt;=Summary!$B$5,1,0),"")</f>
        <v/>
      </c>
      <c r="S246" s="1" t="str">
        <f t="shared" si="23"/>
        <v>2026-03</v>
      </c>
    </row>
    <row r="247" spans="1:19" ht="23" customHeight="1">
      <c r="A247" s="1" t="s">
        <v>304</v>
      </c>
      <c r="B247" s="4">
        <v>46097</v>
      </c>
      <c r="C247" s="1" t="s">
        <v>19</v>
      </c>
      <c r="D247" s="1" t="s">
        <v>54</v>
      </c>
      <c r="E247" s="5">
        <v>25000</v>
      </c>
      <c r="F247" s="1">
        <v>0</v>
      </c>
      <c r="G247" s="4">
        <v>46099</v>
      </c>
      <c r="H247" s="4">
        <v>46103</v>
      </c>
      <c r="I247" s="4">
        <v>46106</v>
      </c>
      <c r="J247" s="4"/>
      <c r="K247" s="1" t="s">
        <v>63</v>
      </c>
      <c r="L247" s="7">
        <f t="shared" si="18"/>
        <v>1</v>
      </c>
      <c r="M247" s="7">
        <f t="shared" si="19"/>
        <v>9</v>
      </c>
      <c r="N247" s="7">
        <f t="shared" si="20"/>
        <v>2</v>
      </c>
      <c r="O247" s="7">
        <f t="shared" si="21"/>
        <v>4</v>
      </c>
      <c r="P247" s="7">
        <f t="shared" si="22"/>
        <v>3</v>
      </c>
      <c r="Q247" s="7" t="str">
        <f>IF(K247="Open",Summary!$B$6-B247,"")</f>
        <v/>
      </c>
      <c r="R247" s="7">
        <f>IF(L247=1,IF(M247&lt;=Summary!$B$5,1,0),"")</f>
        <v>0</v>
      </c>
      <c r="S247" s="1" t="str">
        <f t="shared" si="23"/>
        <v>2026-03</v>
      </c>
    </row>
    <row r="248" spans="1:19" ht="23" customHeight="1">
      <c r="A248" s="1" t="s">
        <v>305</v>
      </c>
      <c r="B248" s="4">
        <v>46030</v>
      </c>
      <c r="C248" s="1" t="s">
        <v>19</v>
      </c>
      <c r="D248" s="1" t="s">
        <v>54</v>
      </c>
      <c r="E248" s="5">
        <v>24000</v>
      </c>
      <c r="F248" s="1">
        <v>0</v>
      </c>
      <c r="G248" s="4">
        <v>46031</v>
      </c>
      <c r="H248" s="4">
        <v>46037</v>
      </c>
      <c r="I248" s="4">
        <v>46039</v>
      </c>
      <c r="J248" s="4"/>
      <c r="K248" s="1" t="s">
        <v>55</v>
      </c>
      <c r="L248" s="7">
        <f t="shared" si="18"/>
        <v>1</v>
      </c>
      <c r="M248" s="7">
        <f t="shared" si="19"/>
        <v>9</v>
      </c>
      <c r="N248" s="7">
        <f t="shared" si="20"/>
        <v>1</v>
      </c>
      <c r="O248" s="7">
        <f t="shared" si="21"/>
        <v>6</v>
      </c>
      <c r="P248" s="7">
        <f t="shared" si="22"/>
        <v>2</v>
      </c>
      <c r="Q248" s="7" t="str">
        <f>IF(K248="Open",Summary!$B$6-B248,"")</f>
        <v/>
      </c>
      <c r="R248" s="7">
        <f>IF(L248=1,IF(M248&lt;=Summary!$B$5,1,0),"")</f>
        <v>0</v>
      </c>
      <c r="S248" s="1" t="str">
        <f t="shared" si="23"/>
        <v>2026-01</v>
      </c>
    </row>
    <row r="249" spans="1:19" ht="23" customHeight="1">
      <c r="A249" s="1" t="s">
        <v>306</v>
      </c>
      <c r="B249" s="4">
        <v>46034</v>
      </c>
      <c r="C249" s="1" t="s">
        <v>18</v>
      </c>
      <c r="D249" s="1" t="s">
        <v>65</v>
      </c>
      <c r="E249" s="5">
        <v>49000</v>
      </c>
      <c r="F249" s="1">
        <v>1</v>
      </c>
      <c r="G249" s="4">
        <v>46043</v>
      </c>
      <c r="H249" s="4">
        <v>46044</v>
      </c>
      <c r="I249" s="4">
        <v>46046</v>
      </c>
      <c r="J249" s="4"/>
      <c r="K249" s="1" t="s">
        <v>63</v>
      </c>
      <c r="L249" s="7">
        <f t="shared" si="18"/>
        <v>1</v>
      </c>
      <c r="M249" s="7">
        <f t="shared" si="19"/>
        <v>12</v>
      </c>
      <c r="N249" s="7">
        <f t="shared" si="20"/>
        <v>9</v>
      </c>
      <c r="O249" s="7">
        <f t="shared" si="21"/>
        <v>1</v>
      </c>
      <c r="P249" s="7">
        <f t="shared" si="22"/>
        <v>2</v>
      </c>
      <c r="Q249" s="7" t="str">
        <f>IF(K249="Open",Summary!$B$6-B249,"")</f>
        <v/>
      </c>
      <c r="R249" s="7">
        <f>IF(L249=1,IF(M249&lt;=Summary!$B$5,1,0),"")</f>
        <v>0</v>
      </c>
      <c r="S249" s="1" t="str">
        <f t="shared" si="23"/>
        <v>2026-01</v>
      </c>
    </row>
    <row r="250" spans="1:19" ht="23" customHeight="1">
      <c r="A250" s="1" t="s">
        <v>307</v>
      </c>
      <c r="B250" s="4">
        <v>46097</v>
      </c>
      <c r="C250" s="1" t="s">
        <v>18</v>
      </c>
      <c r="D250" s="1" t="s">
        <v>71</v>
      </c>
      <c r="E250" s="5">
        <v>14000</v>
      </c>
      <c r="F250" s="1">
        <v>0</v>
      </c>
      <c r="G250" s="4">
        <v>46098</v>
      </c>
      <c r="H250" s="4">
        <v>46102</v>
      </c>
      <c r="I250" s="4">
        <v>46103</v>
      </c>
      <c r="J250" s="4"/>
      <c r="K250" s="1" t="s">
        <v>55</v>
      </c>
      <c r="L250" s="7">
        <f t="shared" si="18"/>
        <v>1</v>
      </c>
      <c r="M250" s="7">
        <f t="shared" si="19"/>
        <v>6</v>
      </c>
      <c r="N250" s="7">
        <f t="shared" si="20"/>
        <v>1</v>
      </c>
      <c r="O250" s="7">
        <f t="shared" si="21"/>
        <v>4</v>
      </c>
      <c r="P250" s="7">
        <f t="shared" si="22"/>
        <v>1</v>
      </c>
      <c r="Q250" s="7" t="str">
        <f>IF(K250="Open",Summary!$B$6-B250,"")</f>
        <v/>
      </c>
      <c r="R250" s="7">
        <f>IF(L250=1,IF(M250&lt;=Summary!$B$5,1,0),"")</f>
        <v>1</v>
      </c>
      <c r="S250" s="1" t="str">
        <f t="shared" si="23"/>
        <v>2026-03</v>
      </c>
    </row>
    <row r="251" spans="1:19" ht="23" customHeight="1">
      <c r="A251" s="1" t="s">
        <v>308</v>
      </c>
      <c r="B251" s="4">
        <v>46050</v>
      </c>
      <c r="C251" s="1" t="s">
        <v>19</v>
      </c>
      <c r="D251" s="1" t="s">
        <v>54</v>
      </c>
      <c r="E251" s="5">
        <v>31000</v>
      </c>
      <c r="F251" s="1">
        <v>1</v>
      </c>
      <c r="G251" s="4"/>
      <c r="H251" s="4"/>
      <c r="I251" s="4"/>
      <c r="J251" s="4">
        <v>46052</v>
      </c>
      <c r="K251" s="1" t="s">
        <v>86</v>
      </c>
      <c r="L251" s="7">
        <f t="shared" si="18"/>
        <v>0</v>
      </c>
      <c r="M251" s="7" t="str">
        <f t="shared" si="19"/>
        <v/>
      </c>
      <c r="N251" s="7" t="str">
        <f t="shared" si="20"/>
        <v/>
      </c>
      <c r="O251" s="7" t="str">
        <f t="shared" si="21"/>
        <v/>
      </c>
      <c r="P251" s="7" t="str">
        <f t="shared" si="22"/>
        <v/>
      </c>
      <c r="Q251" s="7" t="str">
        <f>IF(K251="Open",Summary!$B$6-B251,"")</f>
        <v/>
      </c>
      <c r="R251" s="7" t="str">
        <f>IF(L251=1,IF(M251&lt;=Summary!$B$5,1,0),"")</f>
        <v/>
      </c>
      <c r="S251" s="1" t="str">
        <f t="shared" si="23"/>
        <v>2026-01</v>
      </c>
    </row>
    <row r="252" spans="1:19" ht="23" customHeight="1">
      <c r="A252" s="1" t="s">
        <v>309</v>
      </c>
      <c r="B252" s="4">
        <v>46044</v>
      </c>
      <c r="C252" s="1" t="s">
        <v>18</v>
      </c>
      <c r="D252" s="1" t="s">
        <v>65</v>
      </c>
      <c r="E252" s="5">
        <v>39000</v>
      </c>
      <c r="F252" s="1">
        <v>1</v>
      </c>
      <c r="G252" s="4">
        <v>46054</v>
      </c>
      <c r="H252" s="4">
        <v>46057</v>
      </c>
      <c r="I252" s="4">
        <v>46059</v>
      </c>
      <c r="J252" s="4"/>
      <c r="K252" s="1" t="s">
        <v>63</v>
      </c>
      <c r="L252" s="7">
        <f t="shared" si="18"/>
        <v>1</v>
      </c>
      <c r="M252" s="7">
        <f t="shared" si="19"/>
        <v>15</v>
      </c>
      <c r="N252" s="7">
        <f t="shared" si="20"/>
        <v>10</v>
      </c>
      <c r="O252" s="7">
        <f t="shared" si="21"/>
        <v>3</v>
      </c>
      <c r="P252" s="7">
        <f t="shared" si="22"/>
        <v>2</v>
      </c>
      <c r="Q252" s="7" t="str">
        <f>IF(K252="Open",Summary!$B$6-B252,"")</f>
        <v/>
      </c>
      <c r="R252" s="7">
        <f>IF(L252=1,IF(M252&lt;=Summary!$B$5,1,0),"")</f>
        <v>0</v>
      </c>
      <c r="S252" s="1" t="str">
        <f t="shared" si="23"/>
        <v>2026-01</v>
      </c>
    </row>
    <row r="253" spans="1:19" ht="23" customHeight="1">
      <c r="A253" s="1" t="s">
        <v>310</v>
      </c>
      <c r="B253" s="4">
        <v>46032</v>
      </c>
      <c r="C253" s="1" t="s">
        <v>18</v>
      </c>
      <c r="D253" s="1" t="s">
        <v>59</v>
      </c>
      <c r="E253" s="5">
        <v>44000</v>
      </c>
      <c r="F253" s="1">
        <v>0</v>
      </c>
      <c r="G253" s="4">
        <v>46034</v>
      </c>
      <c r="H253" s="4">
        <v>46038</v>
      </c>
      <c r="I253" s="4">
        <v>46041</v>
      </c>
      <c r="J253" s="4"/>
      <c r="K253" s="1" t="s">
        <v>55</v>
      </c>
      <c r="L253" s="7">
        <f t="shared" si="18"/>
        <v>1</v>
      </c>
      <c r="M253" s="7">
        <f t="shared" si="19"/>
        <v>9</v>
      </c>
      <c r="N253" s="7">
        <f t="shared" si="20"/>
        <v>2</v>
      </c>
      <c r="O253" s="7">
        <f t="shared" si="21"/>
        <v>4</v>
      </c>
      <c r="P253" s="7">
        <f t="shared" si="22"/>
        <v>3</v>
      </c>
      <c r="Q253" s="7" t="str">
        <f>IF(K253="Open",Summary!$B$6-B253,"")</f>
        <v/>
      </c>
      <c r="R253" s="7">
        <f>IF(L253=1,IF(M253&lt;=Summary!$B$5,1,0),"")</f>
        <v>0</v>
      </c>
      <c r="S253" s="1" t="str">
        <f t="shared" si="23"/>
        <v>2026-01</v>
      </c>
    </row>
    <row r="254" spans="1:19" ht="23" customHeight="1">
      <c r="A254" s="1" t="s">
        <v>311</v>
      </c>
      <c r="B254" s="4">
        <v>46043</v>
      </c>
      <c r="C254" s="1" t="s">
        <v>19</v>
      </c>
      <c r="D254" s="1" t="s">
        <v>54</v>
      </c>
      <c r="E254" s="5">
        <v>27000</v>
      </c>
      <c r="F254" s="1">
        <v>0</v>
      </c>
      <c r="G254" s="4">
        <v>46043</v>
      </c>
      <c r="H254" s="4">
        <v>46049</v>
      </c>
      <c r="I254" s="4">
        <v>46052</v>
      </c>
      <c r="J254" s="4"/>
      <c r="K254" s="1" t="s">
        <v>55</v>
      </c>
      <c r="L254" s="7">
        <f t="shared" si="18"/>
        <v>1</v>
      </c>
      <c r="M254" s="7">
        <f t="shared" si="19"/>
        <v>9</v>
      </c>
      <c r="N254" s="7">
        <f t="shared" si="20"/>
        <v>0</v>
      </c>
      <c r="O254" s="7">
        <f t="shared" si="21"/>
        <v>6</v>
      </c>
      <c r="P254" s="7">
        <f t="shared" si="22"/>
        <v>3</v>
      </c>
      <c r="Q254" s="7" t="str">
        <f>IF(K254="Open",Summary!$B$6-B254,"")</f>
        <v/>
      </c>
      <c r="R254" s="7">
        <f>IF(L254=1,IF(M254&lt;=Summary!$B$5,1,0),"")</f>
        <v>0</v>
      </c>
      <c r="S254" s="1" t="str">
        <f t="shared" si="23"/>
        <v>2026-01</v>
      </c>
    </row>
    <row r="255" spans="1:19" ht="23" customHeight="1">
      <c r="A255" s="1" t="s">
        <v>312</v>
      </c>
      <c r="B255" s="4">
        <v>46065</v>
      </c>
      <c r="C255" s="1" t="s">
        <v>19</v>
      </c>
      <c r="D255" s="1" t="s">
        <v>54</v>
      </c>
      <c r="E255" s="5">
        <v>27000</v>
      </c>
      <c r="F255" s="1">
        <v>0</v>
      </c>
      <c r="G255" s="4">
        <v>46066</v>
      </c>
      <c r="H255" s="4">
        <v>46069</v>
      </c>
      <c r="I255" s="4">
        <v>46072</v>
      </c>
      <c r="J255" s="4"/>
      <c r="K255" s="1" t="s">
        <v>55</v>
      </c>
      <c r="L255" s="7">
        <f t="shared" si="18"/>
        <v>1</v>
      </c>
      <c r="M255" s="7">
        <f t="shared" si="19"/>
        <v>7</v>
      </c>
      <c r="N255" s="7">
        <f t="shared" si="20"/>
        <v>1</v>
      </c>
      <c r="O255" s="7">
        <f t="shared" si="21"/>
        <v>3</v>
      </c>
      <c r="P255" s="7">
        <f t="shared" si="22"/>
        <v>3</v>
      </c>
      <c r="Q255" s="7" t="str">
        <f>IF(K255="Open",Summary!$B$6-B255,"")</f>
        <v/>
      </c>
      <c r="R255" s="7">
        <f>IF(L255=1,IF(M255&lt;=Summary!$B$5,1,0),"")</f>
        <v>1</v>
      </c>
      <c r="S255" s="1" t="str">
        <f t="shared" si="23"/>
        <v>2026-02</v>
      </c>
    </row>
    <row r="256" spans="1:19" ht="23" customHeight="1">
      <c r="A256" s="1" t="s">
        <v>313</v>
      </c>
      <c r="B256" s="4">
        <v>46057</v>
      </c>
      <c r="C256" s="1" t="s">
        <v>18</v>
      </c>
      <c r="D256" s="1" t="s">
        <v>65</v>
      </c>
      <c r="E256" s="5">
        <v>43000</v>
      </c>
      <c r="F256" s="1">
        <v>1</v>
      </c>
      <c r="G256" s="4">
        <v>46064</v>
      </c>
      <c r="H256" s="4">
        <v>46070</v>
      </c>
      <c r="I256" s="4">
        <v>46072</v>
      </c>
      <c r="J256" s="4"/>
      <c r="K256" s="1" t="s">
        <v>55</v>
      </c>
      <c r="L256" s="7">
        <f t="shared" si="18"/>
        <v>1</v>
      </c>
      <c r="M256" s="7">
        <f t="shared" si="19"/>
        <v>15</v>
      </c>
      <c r="N256" s="7">
        <f t="shared" si="20"/>
        <v>7</v>
      </c>
      <c r="O256" s="7">
        <f t="shared" si="21"/>
        <v>6</v>
      </c>
      <c r="P256" s="7">
        <f t="shared" si="22"/>
        <v>2</v>
      </c>
      <c r="Q256" s="7" t="str">
        <f>IF(K256="Open",Summary!$B$6-B256,"")</f>
        <v/>
      </c>
      <c r="R256" s="7">
        <f>IF(L256=1,IF(M256&lt;=Summary!$B$5,1,0),"")</f>
        <v>0</v>
      </c>
      <c r="S256" s="1" t="str">
        <f t="shared" si="23"/>
        <v>2026-02</v>
      </c>
    </row>
    <row r="257" spans="1:19" ht="23" customHeight="1">
      <c r="A257" s="1" t="s">
        <v>314</v>
      </c>
      <c r="B257" s="4">
        <v>46043</v>
      </c>
      <c r="C257" s="1" t="s">
        <v>18</v>
      </c>
      <c r="D257" s="1" t="s">
        <v>65</v>
      </c>
      <c r="E257" s="5">
        <v>6000</v>
      </c>
      <c r="F257" s="1">
        <v>0</v>
      </c>
      <c r="G257" s="4">
        <v>46044</v>
      </c>
      <c r="H257" s="4">
        <v>46047</v>
      </c>
      <c r="I257" s="4">
        <v>46050</v>
      </c>
      <c r="J257" s="4"/>
      <c r="K257" s="1" t="s">
        <v>55</v>
      </c>
      <c r="L257" s="7">
        <f t="shared" si="18"/>
        <v>1</v>
      </c>
      <c r="M257" s="7">
        <f t="shared" si="19"/>
        <v>7</v>
      </c>
      <c r="N257" s="7">
        <f t="shared" si="20"/>
        <v>1</v>
      </c>
      <c r="O257" s="7">
        <f t="shared" si="21"/>
        <v>3</v>
      </c>
      <c r="P257" s="7">
        <f t="shared" si="22"/>
        <v>3</v>
      </c>
      <c r="Q257" s="7" t="str">
        <f>IF(K257="Open",Summary!$B$6-B257,"")</f>
        <v/>
      </c>
      <c r="R257" s="7">
        <f>IF(L257=1,IF(M257&lt;=Summary!$B$5,1,0),"")</f>
        <v>1</v>
      </c>
      <c r="S257" s="1" t="str">
        <f t="shared" si="23"/>
        <v>2026-01</v>
      </c>
    </row>
    <row r="258" spans="1:19" ht="23" customHeight="1">
      <c r="A258" s="1" t="s">
        <v>315</v>
      </c>
      <c r="B258" s="4">
        <v>46082</v>
      </c>
      <c r="C258" s="1" t="s">
        <v>18</v>
      </c>
      <c r="D258" s="1" t="s">
        <v>62</v>
      </c>
      <c r="E258" s="5">
        <v>27000</v>
      </c>
      <c r="F258" s="1">
        <v>0</v>
      </c>
      <c r="G258" s="4">
        <v>46084</v>
      </c>
      <c r="H258" s="4">
        <v>46087</v>
      </c>
      <c r="I258" s="4">
        <v>46090</v>
      </c>
      <c r="J258" s="4"/>
      <c r="K258" s="1" t="s">
        <v>55</v>
      </c>
      <c r="L258" s="7">
        <f t="shared" si="18"/>
        <v>1</v>
      </c>
      <c r="M258" s="7">
        <f t="shared" si="19"/>
        <v>8</v>
      </c>
      <c r="N258" s="7">
        <f t="shared" si="20"/>
        <v>2</v>
      </c>
      <c r="O258" s="7">
        <f t="shared" si="21"/>
        <v>3</v>
      </c>
      <c r="P258" s="7">
        <f t="shared" si="22"/>
        <v>3</v>
      </c>
      <c r="Q258" s="7" t="str">
        <f>IF(K258="Open",Summary!$B$6-B258,"")</f>
        <v/>
      </c>
      <c r="R258" s="7">
        <f>IF(L258=1,IF(M258&lt;=Summary!$B$5,1,0),"")</f>
        <v>0</v>
      </c>
      <c r="S258" s="1" t="str">
        <f t="shared" si="23"/>
        <v>2026-03</v>
      </c>
    </row>
    <row r="259" spans="1:19" ht="23" customHeight="1">
      <c r="A259" s="1" t="s">
        <v>316</v>
      </c>
      <c r="B259" s="4">
        <v>46055</v>
      </c>
      <c r="C259" s="1" t="s">
        <v>19</v>
      </c>
      <c r="D259" s="1" t="s">
        <v>54</v>
      </c>
      <c r="E259" s="5">
        <v>15000</v>
      </c>
      <c r="F259" s="1">
        <v>0</v>
      </c>
      <c r="G259" s="4">
        <v>46057</v>
      </c>
      <c r="H259" s="4">
        <v>46062</v>
      </c>
      <c r="I259" s="4">
        <v>46065</v>
      </c>
      <c r="J259" s="4"/>
      <c r="K259" s="1" t="s">
        <v>55</v>
      </c>
      <c r="L259" s="7">
        <f t="shared" si="18"/>
        <v>1</v>
      </c>
      <c r="M259" s="7">
        <f t="shared" si="19"/>
        <v>10</v>
      </c>
      <c r="N259" s="7">
        <f t="shared" si="20"/>
        <v>2</v>
      </c>
      <c r="O259" s="7">
        <f t="shared" si="21"/>
        <v>5</v>
      </c>
      <c r="P259" s="7">
        <f t="shared" si="22"/>
        <v>3</v>
      </c>
      <c r="Q259" s="7" t="str">
        <f>IF(K259="Open",Summary!$B$6-B259,"")</f>
        <v/>
      </c>
      <c r="R259" s="7">
        <f>IF(L259=1,IF(M259&lt;=Summary!$B$5,1,0),"")</f>
        <v>0</v>
      </c>
      <c r="S259" s="1" t="str">
        <f t="shared" si="23"/>
        <v>2026-02</v>
      </c>
    </row>
    <row r="260" spans="1:19" ht="23" customHeight="1">
      <c r="A260" s="1" t="s">
        <v>317</v>
      </c>
      <c r="B260" s="4">
        <v>46029</v>
      </c>
      <c r="C260" s="1" t="s">
        <v>19</v>
      </c>
      <c r="D260" s="1" t="s">
        <v>54</v>
      </c>
      <c r="E260" s="5">
        <v>30000</v>
      </c>
      <c r="F260" s="1">
        <v>0</v>
      </c>
      <c r="G260" s="4">
        <v>46030</v>
      </c>
      <c r="H260" s="4">
        <v>46035</v>
      </c>
      <c r="I260" s="4">
        <v>46036</v>
      </c>
      <c r="J260" s="4"/>
      <c r="K260" s="1" t="s">
        <v>55</v>
      </c>
      <c r="L260" s="7">
        <f t="shared" si="18"/>
        <v>1</v>
      </c>
      <c r="M260" s="7">
        <f t="shared" si="19"/>
        <v>7</v>
      </c>
      <c r="N260" s="7">
        <f t="shared" si="20"/>
        <v>1</v>
      </c>
      <c r="O260" s="7">
        <f t="shared" si="21"/>
        <v>5</v>
      </c>
      <c r="P260" s="7">
        <f t="shared" si="22"/>
        <v>1</v>
      </c>
      <c r="Q260" s="7" t="str">
        <f>IF(K260="Open",Summary!$B$6-B260,"")</f>
        <v/>
      </c>
      <c r="R260" s="7">
        <f>IF(L260=1,IF(M260&lt;=Summary!$B$5,1,0),"")</f>
        <v>1</v>
      </c>
      <c r="S260" s="1" t="str">
        <f t="shared" si="23"/>
        <v>2026-01</v>
      </c>
    </row>
    <row r="261" spans="1:19" ht="23" customHeight="1">
      <c r="A261" s="1" t="s">
        <v>318</v>
      </c>
      <c r="B261" s="4">
        <v>46095</v>
      </c>
      <c r="C261" s="1" t="s">
        <v>18</v>
      </c>
      <c r="D261" s="1" t="s">
        <v>59</v>
      </c>
      <c r="E261" s="5">
        <v>29000</v>
      </c>
      <c r="F261" s="1">
        <v>1</v>
      </c>
      <c r="G261" s="4">
        <v>46098</v>
      </c>
      <c r="H261" s="4">
        <v>46101</v>
      </c>
      <c r="I261" s="4">
        <v>46102</v>
      </c>
      <c r="J261" s="4"/>
      <c r="K261" s="1" t="s">
        <v>55</v>
      </c>
      <c r="L261" s="7">
        <f t="shared" ref="L261:L324" si="24">IF(OR(K261="Approved",K261="Declined"),1,0)</f>
        <v>1</v>
      </c>
      <c r="M261" s="7">
        <f t="shared" ref="M261:M324" si="25">IF(L261=1,I261-B261,"")</f>
        <v>7</v>
      </c>
      <c r="N261" s="7">
        <f t="shared" ref="N261:N324" si="26">IF(L261=1,G261-B261,"")</f>
        <v>3</v>
      </c>
      <c r="O261" s="7">
        <f t="shared" ref="O261:O324" si="27">IF(L261=1,H261-G261,"")</f>
        <v>3</v>
      </c>
      <c r="P261" s="7">
        <f t="shared" ref="P261:P324" si="28">IF(L261=1,I261-H261,"")</f>
        <v>1</v>
      </c>
      <c r="Q261" s="7" t="str">
        <f>IF(K261="Open",Summary!$B$6-B261,"")</f>
        <v/>
      </c>
      <c r="R261" s="7">
        <f>IF(L261=1,IF(M261&lt;=Summary!$B$5,1,0),"")</f>
        <v>1</v>
      </c>
      <c r="S261" s="1" t="str">
        <f t="shared" ref="S261:S324" si="29">TEXT(B261,"yyyy-mm")</f>
        <v>2026-03</v>
      </c>
    </row>
    <row r="262" spans="1:19" ht="23" customHeight="1">
      <c r="A262" s="1" t="s">
        <v>319</v>
      </c>
      <c r="B262" s="4">
        <v>46091</v>
      </c>
      <c r="C262" s="1" t="s">
        <v>18</v>
      </c>
      <c r="D262" s="1" t="s">
        <v>59</v>
      </c>
      <c r="E262" s="5">
        <v>23000</v>
      </c>
      <c r="F262" s="1">
        <v>1</v>
      </c>
      <c r="G262" s="4">
        <v>46098</v>
      </c>
      <c r="H262" s="4">
        <v>46103</v>
      </c>
      <c r="I262" s="4">
        <v>46106</v>
      </c>
      <c r="J262" s="4"/>
      <c r="K262" s="1" t="s">
        <v>63</v>
      </c>
      <c r="L262" s="7">
        <f t="shared" si="24"/>
        <v>1</v>
      </c>
      <c r="M262" s="7">
        <f t="shared" si="25"/>
        <v>15</v>
      </c>
      <c r="N262" s="7">
        <f t="shared" si="26"/>
        <v>7</v>
      </c>
      <c r="O262" s="7">
        <f t="shared" si="27"/>
        <v>5</v>
      </c>
      <c r="P262" s="7">
        <f t="shared" si="28"/>
        <v>3</v>
      </c>
      <c r="Q262" s="7" t="str">
        <f>IF(K262="Open",Summary!$B$6-B262,"")</f>
        <v/>
      </c>
      <c r="R262" s="7">
        <f>IF(L262=1,IF(M262&lt;=Summary!$B$5,1,0),"")</f>
        <v>0</v>
      </c>
      <c r="S262" s="1" t="str">
        <f t="shared" si="29"/>
        <v>2026-03</v>
      </c>
    </row>
    <row r="263" spans="1:19" ht="23" customHeight="1">
      <c r="A263" s="1" t="s">
        <v>320</v>
      </c>
      <c r="B263" s="4">
        <v>46083</v>
      </c>
      <c r="C263" s="1" t="s">
        <v>19</v>
      </c>
      <c r="D263" s="1" t="s">
        <v>54</v>
      </c>
      <c r="E263" s="5">
        <v>18000</v>
      </c>
      <c r="F263" s="1">
        <v>1</v>
      </c>
      <c r="G263" s="4">
        <v>46090</v>
      </c>
      <c r="H263" s="4">
        <v>46094</v>
      </c>
      <c r="I263" s="4">
        <v>46097</v>
      </c>
      <c r="J263" s="4"/>
      <c r="K263" s="1" t="s">
        <v>55</v>
      </c>
      <c r="L263" s="7">
        <f t="shared" si="24"/>
        <v>1</v>
      </c>
      <c r="M263" s="7">
        <f t="shared" si="25"/>
        <v>14</v>
      </c>
      <c r="N263" s="7">
        <f t="shared" si="26"/>
        <v>7</v>
      </c>
      <c r="O263" s="7">
        <f t="shared" si="27"/>
        <v>4</v>
      </c>
      <c r="P263" s="7">
        <f t="shared" si="28"/>
        <v>3</v>
      </c>
      <c r="Q263" s="7" t="str">
        <f>IF(K263="Open",Summary!$B$6-B263,"")</f>
        <v/>
      </c>
      <c r="R263" s="7">
        <f>IF(L263=1,IF(M263&lt;=Summary!$B$5,1,0),"")</f>
        <v>0</v>
      </c>
      <c r="S263" s="1" t="str">
        <f t="shared" si="29"/>
        <v>2026-03</v>
      </c>
    </row>
    <row r="264" spans="1:19" ht="23" customHeight="1">
      <c r="A264" s="1" t="s">
        <v>321</v>
      </c>
      <c r="B264" s="4">
        <v>46101</v>
      </c>
      <c r="C264" s="1" t="s">
        <v>19</v>
      </c>
      <c r="D264" s="1" t="s">
        <v>54</v>
      </c>
      <c r="E264" s="5">
        <v>19000</v>
      </c>
      <c r="F264" s="1">
        <v>0</v>
      </c>
      <c r="G264" s="4">
        <v>46101</v>
      </c>
      <c r="H264" s="4">
        <v>46105</v>
      </c>
      <c r="I264" s="4">
        <v>46108</v>
      </c>
      <c r="J264" s="4"/>
      <c r="K264" s="1" t="s">
        <v>55</v>
      </c>
      <c r="L264" s="7">
        <f t="shared" si="24"/>
        <v>1</v>
      </c>
      <c r="M264" s="7">
        <f t="shared" si="25"/>
        <v>7</v>
      </c>
      <c r="N264" s="7">
        <f t="shared" si="26"/>
        <v>0</v>
      </c>
      <c r="O264" s="7">
        <f t="shared" si="27"/>
        <v>4</v>
      </c>
      <c r="P264" s="7">
        <f t="shared" si="28"/>
        <v>3</v>
      </c>
      <c r="Q264" s="7" t="str">
        <f>IF(K264="Open",Summary!$B$6-B264,"")</f>
        <v/>
      </c>
      <c r="R264" s="7">
        <f>IF(L264=1,IF(M264&lt;=Summary!$B$5,1,0),"")</f>
        <v>1</v>
      </c>
      <c r="S264" s="1" t="str">
        <f t="shared" si="29"/>
        <v>2026-03</v>
      </c>
    </row>
    <row r="265" spans="1:19" ht="23" customHeight="1">
      <c r="A265" s="1" t="s">
        <v>322</v>
      </c>
      <c r="B265" s="4">
        <v>46103</v>
      </c>
      <c r="C265" s="1" t="s">
        <v>19</v>
      </c>
      <c r="D265" s="1" t="s">
        <v>54</v>
      </c>
      <c r="E265" s="5">
        <v>6000</v>
      </c>
      <c r="F265" s="1">
        <v>0</v>
      </c>
      <c r="G265" s="4">
        <v>46103</v>
      </c>
      <c r="H265" s="4">
        <v>46108</v>
      </c>
      <c r="I265" s="4">
        <v>46111</v>
      </c>
      <c r="J265" s="4"/>
      <c r="K265" s="1" t="s">
        <v>55</v>
      </c>
      <c r="L265" s="7">
        <f t="shared" si="24"/>
        <v>1</v>
      </c>
      <c r="M265" s="7">
        <f t="shared" si="25"/>
        <v>8</v>
      </c>
      <c r="N265" s="7">
        <f t="shared" si="26"/>
        <v>0</v>
      </c>
      <c r="O265" s="7">
        <f t="shared" si="27"/>
        <v>5</v>
      </c>
      <c r="P265" s="7">
        <f t="shared" si="28"/>
        <v>3</v>
      </c>
      <c r="Q265" s="7" t="str">
        <f>IF(K265="Open",Summary!$B$6-B265,"")</f>
        <v/>
      </c>
      <c r="R265" s="7">
        <f>IF(L265=1,IF(M265&lt;=Summary!$B$5,1,0),"")</f>
        <v>0</v>
      </c>
      <c r="S265" s="1" t="str">
        <f t="shared" si="29"/>
        <v>2026-03</v>
      </c>
    </row>
    <row r="266" spans="1:19" ht="23" customHeight="1">
      <c r="A266" s="1" t="s">
        <v>323</v>
      </c>
      <c r="B266" s="4">
        <v>46044</v>
      </c>
      <c r="C266" s="1" t="s">
        <v>18</v>
      </c>
      <c r="D266" s="1" t="s">
        <v>62</v>
      </c>
      <c r="E266" s="5">
        <v>7000</v>
      </c>
      <c r="F266" s="1">
        <v>1</v>
      </c>
      <c r="G266" s="4"/>
      <c r="H266" s="4"/>
      <c r="I266" s="4"/>
      <c r="J266" s="4">
        <v>46049</v>
      </c>
      <c r="K266" s="1" t="s">
        <v>86</v>
      </c>
      <c r="L266" s="7">
        <f t="shared" si="24"/>
        <v>0</v>
      </c>
      <c r="M266" s="7" t="str">
        <f t="shared" si="25"/>
        <v/>
      </c>
      <c r="N266" s="7" t="str">
        <f t="shared" si="26"/>
        <v/>
      </c>
      <c r="O266" s="7" t="str">
        <f t="shared" si="27"/>
        <v/>
      </c>
      <c r="P266" s="7" t="str">
        <f t="shared" si="28"/>
        <v/>
      </c>
      <c r="Q266" s="7" t="str">
        <f>IF(K266="Open",Summary!$B$6-B266,"")</f>
        <v/>
      </c>
      <c r="R266" s="7" t="str">
        <f>IF(L266=1,IF(M266&lt;=Summary!$B$5,1,0),"")</f>
        <v/>
      </c>
      <c r="S266" s="1" t="str">
        <f t="shared" si="29"/>
        <v>2026-01</v>
      </c>
    </row>
    <row r="267" spans="1:19" ht="23" customHeight="1">
      <c r="A267" s="1" t="s">
        <v>324</v>
      </c>
      <c r="B267" s="4">
        <v>46044</v>
      </c>
      <c r="C267" s="1" t="s">
        <v>18</v>
      </c>
      <c r="D267" s="1" t="s">
        <v>59</v>
      </c>
      <c r="E267" s="5">
        <v>25000</v>
      </c>
      <c r="F267" s="1">
        <v>0</v>
      </c>
      <c r="G267" s="4">
        <v>46044</v>
      </c>
      <c r="H267" s="4">
        <v>46050</v>
      </c>
      <c r="I267" s="4">
        <v>46052</v>
      </c>
      <c r="J267" s="4"/>
      <c r="K267" s="1" t="s">
        <v>55</v>
      </c>
      <c r="L267" s="7">
        <f t="shared" si="24"/>
        <v>1</v>
      </c>
      <c r="M267" s="7">
        <f t="shared" si="25"/>
        <v>8</v>
      </c>
      <c r="N267" s="7">
        <f t="shared" si="26"/>
        <v>0</v>
      </c>
      <c r="O267" s="7">
        <f t="shared" si="27"/>
        <v>6</v>
      </c>
      <c r="P267" s="7">
        <f t="shared" si="28"/>
        <v>2</v>
      </c>
      <c r="Q267" s="7" t="str">
        <f>IF(K267="Open",Summary!$B$6-B267,"")</f>
        <v/>
      </c>
      <c r="R267" s="7">
        <f>IF(L267=1,IF(M267&lt;=Summary!$B$5,1,0),"")</f>
        <v>0</v>
      </c>
      <c r="S267" s="1" t="str">
        <f t="shared" si="29"/>
        <v>2026-01</v>
      </c>
    </row>
    <row r="268" spans="1:19" ht="23" customHeight="1">
      <c r="A268" s="1" t="s">
        <v>325</v>
      </c>
      <c r="B268" s="4">
        <v>46089</v>
      </c>
      <c r="C268" s="1" t="s">
        <v>19</v>
      </c>
      <c r="D268" s="1" t="s">
        <v>54</v>
      </c>
      <c r="E268" s="5">
        <v>6000</v>
      </c>
      <c r="F268" s="1">
        <v>1</v>
      </c>
      <c r="G268" s="4">
        <v>46092</v>
      </c>
      <c r="H268" s="4">
        <v>46094</v>
      </c>
      <c r="I268" s="4">
        <v>46095</v>
      </c>
      <c r="J268" s="4"/>
      <c r="K268" s="1" t="s">
        <v>55</v>
      </c>
      <c r="L268" s="7">
        <f t="shared" si="24"/>
        <v>1</v>
      </c>
      <c r="M268" s="7">
        <f t="shared" si="25"/>
        <v>6</v>
      </c>
      <c r="N268" s="7">
        <f t="shared" si="26"/>
        <v>3</v>
      </c>
      <c r="O268" s="7">
        <f t="shared" si="27"/>
        <v>2</v>
      </c>
      <c r="P268" s="7">
        <f t="shared" si="28"/>
        <v>1</v>
      </c>
      <c r="Q268" s="7" t="str">
        <f>IF(K268="Open",Summary!$B$6-B268,"")</f>
        <v/>
      </c>
      <c r="R268" s="7">
        <f>IF(L268=1,IF(M268&lt;=Summary!$B$5,1,0),"")</f>
        <v>1</v>
      </c>
      <c r="S268" s="1" t="str">
        <f t="shared" si="29"/>
        <v>2026-03</v>
      </c>
    </row>
    <row r="269" spans="1:19" ht="23" customHeight="1">
      <c r="A269" s="1" t="s">
        <v>326</v>
      </c>
      <c r="B269" s="4">
        <v>46074</v>
      </c>
      <c r="C269" s="1" t="s">
        <v>18</v>
      </c>
      <c r="D269" s="1" t="s">
        <v>71</v>
      </c>
      <c r="E269" s="5">
        <v>43000</v>
      </c>
      <c r="F269" s="1">
        <v>0</v>
      </c>
      <c r="G269" s="4">
        <v>46075</v>
      </c>
      <c r="H269" s="4">
        <v>46079</v>
      </c>
      <c r="I269" s="4">
        <v>46081</v>
      </c>
      <c r="J269" s="4"/>
      <c r="K269" s="1" t="s">
        <v>55</v>
      </c>
      <c r="L269" s="7">
        <f t="shared" si="24"/>
        <v>1</v>
      </c>
      <c r="M269" s="7">
        <f t="shared" si="25"/>
        <v>7</v>
      </c>
      <c r="N269" s="7">
        <f t="shared" si="26"/>
        <v>1</v>
      </c>
      <c r="O269" s="7">
        <f t="shared" si="27"/>
        <v>4</v>
      </c>
      <c r="P269" s="7">
        <f t="shared" si="28"/>
        <v>2</v>
      </c>
      <c r="Q269" s="7" t="str">
        <f>IF(K269="Open",Summary!$B$6-B269,"")</f>
        <v/>
      </c>
      <c r="R269" s="7">
        <f>IF(L269=1,IF(M269&lt;=Summary!$B$5,1,0),"")</f>
        <v>1</v>
      </c>
      <c r="S269" s="1" t="str">
        <f t="shared" si="29"/>
        <v>2026-02</v>
      </c>
    </row>
    <row r="270" spans="1:19" ht="23" customHeight="1">
      <c r="A270" s="1" t="s">
        <v>327</v>
      </c>
      <c r="B270" s="4">
        <v>46036</v>
      </c>
      <c r="C270" s="1" t="s">
        <v>18</v>
      </c>
      <c r="D270" s="1" t="s">
        <v>71</v>
      </c>
      <c r="E270" s="5">
        <v>43000</v>
      </c>
      <c r="F270" s="1">
        <v>0</v>
      </c>
      <c r="G270" s="4">
        <v>46038</v>
      </c>
      <c r="H270" s="4">
        <v>46040</v>
      </c>
      <c r="I270" s="4">
        <v>46043</v>
      </c>
      <c r="J270" s="4"/>
      <c r="K270" s="1" t="s">
        <v>55</v>
      </c>
      <c r="L270" s="7">
        <f t="shared" si="24"/>
        <v>1</v>
      </c>
      <c r="M270" s="7">
        <f t="shared" si="25"/>
        <v>7</v>
      </c>
      <c r="N270" s="7">
        <f t="shared" si="26"/>
        <v>2</v>
      </c>
      <c r="O270" s="7">
        <f t="shared" si="27"/>
        <v>2</v>
      </c>
      <c r="P270" s="7">
        <f t="shared" si="28"/>
        <v>3</v>
      </c>
      <c r="Q270" s="7" t="str">
        <f>IF(K270="Open",Summary!$B$6-B270,"")</f>
        <v/>
      </c>
      <c r="R270" s="7">
        <f>IF(L270=1,IF(M270&lt;=Summary!$B$5,1,0),"")</f>
        <v>1</v>
      </c>
      <c r="S270" s="1" t="str">
        <f t="shared" si="29"/>
        <v>2026-01</v>
      </c>
    </row>
    <row r="271" spans="1:19" ht="23" customHeight="1">
      <c r="A271" s="1" t="s">
        <v>328</v>
      </c>
      <c r="B271" s="4">
        <v>46108</v>
      </c>
      <c r="C271" s="1" t="s">
        <v>18</v>
      </c>
      <c r="D271" s="1" t="s">
        <v>65</v>
      </c>
      <c r="E271" s="5">
        <v>27000</v>
      </c>
      <c r="F271" s="1">
        <v>0</v>
      </c>
      <c r="G271" s="4">
        <v>46109</v>
      </c>
      <c r="H271" s="4">
        <v>46111</v>
      </c>
      <c r="I271" s="4">
        <v>46112</v>
      </c>
      <c r="J271" s="4"/>
      <c r="K271" s="1" t="s">
        <v>55</v>
      </c>
      <c r="L271" s="7">
        <f t="shared" si="24"/>
        <v>1</v>
      </c>
      <c r="M271" s="7">
        <f t="shared" si="25"/>
        <v>4</v>
      </c>
      <c r="N271" s="7">
        <f t="shared" si="26"/>
        <v>1</v>
      </c>
      <c r="O271" s="7">
        <f t="shared" si="27"/>
        <v>2</v>
      </c>
      <c r="P271" s="7">
        <f t="shared" si="28"/>
        <v>1</v>
      </c>
      <c r="Q271" s="7" t="str">
        <f>IF(K271="Open",Summary!$B$6-B271,"")</f>
        <v/>
      </c>
      <c r="R271" s="7">
        <f>IF(L271=1,IF(M271&lt;=Summary!$B$5,1,0),"")</f>
        <v>1</v>
      </c>
      <c r="S271" s="1" t="str">
        <f t="shared" si="29"/>
        <v>2026-03</v>
      </c>
    </row>
    <row r="272" spans="1:19" ht="23" customHeight="1">
      <c r="A272" s="1" t="s">
        <v>329</v>
      </c>
      <c r="B272" s="4">
        <v>46051</v>
      </c>
      <c r="C272" s="1" t="s">
        <v>18</v>
      </c>
      <c r="D272" s="1" t="s">
        <v>65</v>
      </c>
      <c r="E272" s="5">
        <v>16000</v>
      </c>
      <c r="F272" s="1">
        <v>1</v>
      </c>
      <c r="G272" s="4">
        <v>46060</v>
      </c>
      <c r="H272" s="4">
        <v>46063</v>
      </c>
      <c r="I272" s="4">
        <v>46064</v>
      </c>
      <c r="J272" s="4"/>
      <c r="K272" s="1" t="s">
        <v>63</v>
      </c>
      <c r="L272" s="7">
        <f t="shared" si="24"/>
        <v>1</v>
      </c>
      <c r="M272" s="7">
        <f t="shared" si="25"/>
        <v>13</v>
      </c>
      <c r="N272" s="7">
        <f t="shared" si="26"/>
        <v>9</v>
      </c>
      <c r="O272" s="7">
        <f t="shared" si="27"/>
        <v>3</v>
      </c>
      <c r="P272" s="7">
        <f t="shared" si="28"/>
        <v>1</v>
      </c>
      <c r="Q272" s="7" t="str">
        <f>IF(K272="Open",Summary!$B$6-B272,"")</f>
        <v/>
      </c>
      <c r="R272" s="7">
        <f>IF(L272=1,IF(M272&lt;=Summary!$B$5,1,0),"")</f>
        <v>0</v>
      </c>
      <c r="S272" s="1" t="str">
        <f t="shared" si="29"/>
        <v>2026-01</v>
      </c>
    </row>
    <row r="273" spans="1:19" ht="23" customHeight="1">
      <c r="A273" s="1" t="s">
        <v>330</v>
      </c>
      <c r="B273" s="4">
        <v>46109</v>
      </c>
      <c r="C273" s="1" t="s">
        <v>19</v>
      </c>
      <c r="D273" s="1" t="s">
        <v>54</v>
      </c>
      <c r="E273" s="5">
        <v>39000</v>
      </c>
      <c r="F273" s="1">
        <v>0</v>
      </c>
      <c r="G273" s="4">
        <v>46110</v>
      </c>
      <c r="H273" s="4"/>
      <c r="I273" s="4"/>
      <c r="J273" s="4"/>
      <c r="K273" s="1" t="s">
        <v>69</v>
      </c>
      <c r="L273" s="7">
        <f t="shared" si="24"/>
        <v>0</v>
      </c>
      <c r="M273" s="7" t="str">
        <f t="shared" si="25"/>
        <v/>
      </c>
      <c r="N273" s="7" t="str">
        <f t="shared" si="26"/>
        <v/>
      </c>
      <c r="O273" s="7" t="str">
        <f t="shared" si="27"/>
        <v/>
      </c>
      <c r="P273" s="7" t="str">
        <f t="shared" si="28"/>
        <v/>
      </c>
      <c r="Q273" s="7">
        <f>IF(K273="Open",Summary!$B$6-B273,"")</f>
        <v>3</v>
      </c>
      <c r="R273" s="7" t="str">
        <f>IF(L273=1,IF(M273&lt;=Summary!$B$5,1,0),"")</f>
        <v/>
      </c>
      <c r="S273" s="1" t="str">
        <f t="shared" si="29"/>
        <v>2026-03</v>
      </c>
    </row>
    <row r="274" spans="1:19" ht="23" customHeight="1">
      <c r="A274" s="1" t="s">
        <v>331</v>
      </c>
      <c r="B274" s="4">
        <v>46056</v>
      </c>
      <c r="C274" s="1" t="s">
        <v>18</v>
      </c>
      <c r="D274" s="1" t="s">
        <v>62</v>
      </c>
      <c r="E274" s="5">
        <v>21000</v>
      </c>
      <c r="F274" s="1">
        <v>0</v>
      </c>
      <c r="G274" s="4">
        <v>46057</v>
      </c>
      <c r="H274" s="4">
        <v>46065</v>
      </c>
      <c r="I274" s="4">
        <v>46067</v>
      </c>
      <c r="J274" s="4"/>
      <c r="K274" s="1" t="s">
        <v>55</v>
      </c>
      <c r="L274" s="7">
        <f t="shared" si="24"/>
        <v>1</v>
      </c>
      <c r="M274" s="7">
        <f t="shared" si="25"/>
        <v>11</v>
      </c>
      <c r="N274" s="7">
        <f t="shared" si="26"/>
        <v>1</v>
      </c>
      <c r="O274" s="7">
        <f t="shared" si="27"/>
        <v>8</v>
      </c>
      <c r="P274" s="7">
        <f t="shared" si="28"/>
        <v>2</v>
      </c>
      <c r="Q274" s="7" t="str">
        <f>IF(K274="Open",Summary!$B$6-B274,"")</f>
        <v/>
      </c>
      <c r="R274" s="7">
        <f>IF(L274=1,IF(M274&lt;=Summary!$B$5,1,0),"")</f>
        <v>0</v>
      </c>
      <c r="S274" s="1" t="str">
        <f t="shared" si="29"/>
        <v>2026-02</v>
      </c>
    </row>
    <row r="275" spans="1:19" ht="23" customHeight="1">
      <c r="A275" s="1" t="s">
        <v>332</v>
      </c>
      <c r="B275" s="4">
        <v>46110</v>
      </c>
      <c r="C275" s="1" t="s">
        <v>19</v>
      </c>
      <c r="D275" s="1" t="s">
        <v>54</v>
      </c>
      <c r="E275" s="5">
        <v>43000</v>
      </c>
      <c r="F275" s="1">
        <v>1</v>
      </c>
      <c r="G275" s="4"/>
      <c r="H275" s="4"/>
      <c r="I275" s="4"/>
      <c r="J275" s="4">
        <v>46111</v>
      </c>
      <c r="K275" s="1" t="s">
        <v>86</v>
      </c>
      <c r="L275" s="7">
        <f t="shared" si="24"/>
        <v>0</v>
      </c>
      <c r="M275" s="7" t="str">
        <f t="shared" si="25"/>
        <v/>
      </c>
      <c r="N275" s="7" t="str">
        <f t="shared" si="26"/>
        <v/>
      </c>
      <c r="O275" s="7" t="str">
        <f t="shared" si="27"/>
        <v/>
      </c>
      <c r="P275" s="7" t="str">
        <f t="shared" si="28"/>
        <v/>
      </c>
      <c r="Q275" s="7" t="str">
        <f>IF(K275="Open",Summary!$B$6-B275,"")</f>
        <v/>
      </c>
      <c r="R275" s="7" t="str">
        <f>IF(L275=1,IF(M275&lt;=Summary!$B$5,1,0),"")</f>
        <v/>
      </c>
      <c r="S275" s="1" t="str">
        <f t="shared" si="29"/>
        <v>2026-03</v>
      </c>
    </row>
    <row r="276" spans="1:19" ht="23" customHeight="1">
      <c r="A276" s="1" t="s">
        <v>333</v>
      </c>
      <c r="B276" s="4">
        <v>46105</v>
      </c>
      <c r="C276" s="1" t="s">
        <v>18</v>
      </c>
      <c r="D276" s="1" t="s">
        <v>62</v>
      </c>
      <c r="E276" s="5">
        <v>28000</v>
      </c>
      <c r="F276" s="1">
        <v>1</v>
      </c>
      <c r="G276" s="4"/>
      <c r="H276" s="4"/>
      <c r="I276" s="4"/>
      <c r="J276" s="4">
        <v>46107</v>
      </c>
      <c r="K276" s="1" t="s">
        <v>86</v>
      </c>
      <c r="L276" s="7">
        <f t="shared" si="24"/>
        <v>0</v>
      </c>
      <c r="M276" s="7" t="str">
        <f t="shared" si="25"/>
        <v/>
      </c>
      <c r="N276" s="7" t="str">
        <f t="shared" si="26"/>
        <v/>
      </c>
      <c r="O276" s="7" t="str">
        <f t="shared" si="27"/>
        <v/>
      </c>
      <c r="P276" s="7" t="str">
        <f t="shared" si="28"/>
        <v/>
      </c>
      <c r="Q276" s="7" t="str">
        <f>IF(K276="Open",Summary!$B$6-B276,"")</f>
        <v/>
      </c>
      <c r="R276" s="7" t="str">
        <f>IF(L276=1,IF(M276&lt;=Summary!$B$5,1,0),"")</f>
        <v/>
      </c>
      <c r="S276" s="1" t="str">
        <f t="shared" si="29"/>
        <v>2026-03</v>
      </c>
    </row>
    <row r="277" spans="1:19" ht="23" customHeight="1">
      <c r="A277" s="1" t="s">
        <v>334</v>
      </c>
      <c r="B277" s="4">
        <v>46112</v>
      </c>
      <c r="C277" s="1" t="s">
        <v>19</v>
      </c>
      <c r="D277" s="1" t="s">
        <v>54</v>
      </c>
      <c r="E277" s="5">
        <v>24000</v>
      </c>
      <c r="F277" s="1">
        <v>0</v>
      </c>
      <c r="G277" s="4">
        <v>46112</v>
      </c>
      <c r="H277" s="4"/>
      <c r="I277" s="4"/>
      <c r="J277" s="4"/>
      <c r="K277" s="1" t="s">
        <v>69</v>
      </c>
      <c r="L277" s="7">
        <f t="shared" si="24"/>
        <v>0</v>
      </c>
      <c r="M277" s="7" t="str">
        <f t="shared" si="25"/>
        <v/>
      </c>
      <c r="N277" s="7" t="str">
        <f t="shared" si="26"/>
        <v/>
      </c>
      <c r="O277" s="7" t="str">
        <f t="shared" si="27"/>
        <v/>
      </c>
      <c r="P277" s="7" t="str">
        <f t="shared" si="28"/>
        <v/>
      </c>
      <c r="Q277" s="7">
        <f>IF(K277="Open",Summary!$B$6-B277,"")</f>
        <v>0</v>
      </c>
      <c r="R277" s="7" t="str">
        <f>IF(L277=1,IF(M277&lt;=Summary!$B$5,1,0),"")</f>
        <v/>
      </c>
      <c r="S277" s="1" t="str">
        <f t="shared" si="29"/>
        <v>2026-03</v>
      </c>
    </row>
    <row r="278" spans="1:19" ht="23" customHeight="1">
      <c r="A278" s="1" t="s">
        <v>335</v>
      </c>
      <c r="B278" s="4">
        <v>46047</v>
      </c>
      <c r="C278" s="1" t="s">
        <v>18</v>
      </c>
      <c r="D278" s="1" t="s">
        <v>62</v>
      </c>
      <c r="E278" s="5">
        <v>26000</v>
      </c>
      <c r="F278" s="1">
        <v>0</v>
      </c>
      <c r="G278" s="4">
        <v>46049</v>
      </c>
      <c r="H278" s="4">
        <v>46056</v>
      </c>
      <c r="I278" s="4">
        <v>46057</v>
      </c>
      <c r="J278" s="4"/>
      <c r="K278" s="1" t="s">
        <v>55</v>
      </c>
      <c r="L278" s="7">
        <f t="shared" si="24"/>
        <v>1</v>
      </c>
      <c r="M278" s="7">
        <f t="shared" si="25"/>
        <v>10</v>
      </c>
      <c r="N278" s="7">
        <f t="shared" si="26"/>
        <v>2</v>
      </c>
      <c r="O278" s="7">
        <f t="shared" si="27"/>
        <v>7</v>
      </c>
      <c r="P278" s="7">
        <f t="shared" si="28"/>
        <v>1</v>
      </c>
      <c r="Q278" s="7" t="str">
        <f>IF(K278="Open",Summary!$B$6-B278,"")</f>
        <v/>
      </c>
      <c r="R278" s="7">
        <f>IF(L278=1,IF(M278&lt;=Summary!$B$5,1,0),"")</f>
        <v>0</v>
      </c>
      <c r="S278" s="1" t="str">
        <f t="shared" si="29"/>
        <v>2026-01</v>
      </c>
    </row>
    <row r="279" spans="1:19" ht="23" customHeight="1">
      <c r="A279" s="1" t="s">
        <v>336</v>
      </c>
      <c r="B279" s="4">
        <v>46101</v>
      </c>
      <c r="C279" s="1" t="s">
        <v>18</v>
      </c>
      <c r="D279" s="1" t="s">
        <v>65</v>
      </c>
      <c r="E279" s="5">
        <v>22000</v>
      </c>
      <c r="F279" s="1">
        <v>0</v>
      </c>
      <c r="G279" s="4">
        <v>46101</v>
      </c>
      <c r="H279" s="4">
        <v>46104</v>
      </c>
      <c r="I279" s="4">
        <v>46107</v>
      </c>
      <c r="J279" s="4"/>
      <c r="K279" s="1" t="s">
        <v>55</v>
      </c>
      <c r="L279" s="7">
        <f t="shared" si="24"/>
        <v>1</v>
      </c>
      <c r="M279" s="7">
        <f t="shared" si="25"/>
        <v>6</v>
      </c>
      <c r="N279" s="7">
        <f t="shared" si="26"/>
        <v>0</v>
      </c>
      <c r="O279" s="7">
        <f t="shared" si="27"/>
        <v>3</v>
      </c>
      <c r="P279" s="7">
        <f t="shared" si="28"/>
        <v>3</v>
      </c>
      <c r="Q279" s="7" t="str">
        <f>IF(K279="Open",Summary!$B$6-B279,"")</f>
        <v/>
      </c>
      <c r="R279" s="7">
        <f>IF(L279=1,IF(M279&lt;=Summary!$B$5,1,0),"")</f>
        <v>1</v>
      </c>
      <c r="S279" s="1" t="str">
        <f t="shared" si="29"/>
        <v>2026-03</v>
      </c>
    </row>
    <row r="280" spans="1:19" ht="23" customHeight="1">
      <c r="A280" s="1" t="s">
        <v>337</v>
      </c>
      <c r="B280" s="4">
        <v>46043</v>
      </c>
      <c r="C280" s="1" t="s">
        <v>18</v>
      </c>
      <c r="D280" s="1" t="s">
        <v>71</v>
      </c>
      <c r="E280" s="5">
        <v>5000</v>
      </c>
      <c r="F280" s="1">
        <v>0</v>
      </c>
      <c r="G280" s="4">
        <v>46044</v>
      </c>
      <c r="H280" s="4">
        <v>46045</v>
      </c>
      <c r="I280" s="4">
        <v>46048</v>
      </c>
      <c r="J280" s="4"/>
      <c r="K280" s="1" t="s">
        <v>55</v>
      </c>
      <c r="L280" s="7">
        <f t="shared" si="24"/>
        <v>1</v>
      </c>
      <c r="M280" s="7">
        <f t="shared" si="25"/>
        <v>5</v>
      </c>
      <c r="N280" s="7">
        <f t="shared" si="26"/>
        <v>1</v>
      </c>
      <c r="O280" s="7">
        <f t="shared" si="27"/>
        <v>1</v>
      </c>
      <c r="P280" s="7">
        <f t="shared" si="28"/>
        <v>3</v>
      </c>
      <c r="Q280" s="7" t="str">
        <f>IF(K280="Open",Summary!$B$6-B280,"")</f>
        <v/>
      </c>
      <c r="R280" s="7">
        <f>IF(L280=1,IF(M280&lt;=Summary!$B$5,1,0),"")</f>
        <v>1</v>
      </c>
      <c r="S280" s="1" t="str">
        <f t="shared" si="29"/>
        <v>2026-01</v>
      </c>
    </row>
    <row r="281" spans="1:19" ht="23" customHeight="1">
      <c r="A281" s="1" t="s">
        <v>338</v>
      </c>
      <c r="B281" s="4">
        <v>46054</v>
      </c>
      <c r="C281" s="1" t="s">
        <v>19</v>
      </c>
      <c r="D281" s="1" t="s">
        <v>54</v>
      </c>
      <c r="E281" s="5">
        <v>34000</v>
      </c>
      <c r="F281" s="1">
        <v>0</v>
      </c>
      <c r="G281" s="4">
        <v>46055</v>
      </c>
      <c r="H281" s="4">
        <v>46056</v>
      </c>
      <c r="I281" s="4">
        <v>46059</v>
      </c>
      <c r="J281" s="4"/>
      <c r="K281" s="1" t="s">
        <v>55</v>
      </c>
      <c r="L281" s="7">
        <f t="shared" si="24"/>
        <v>1</v>
      </c>
      <c r="M281" s="7">
        <f t="shared" si="25"/>
        <v>5</v>
      </c>
      <c r="N281" s="7">
        <f t="shared" si="26"/>
        <v>1</v>
      </c>
      <c r="O281" s="7">
        <f t="shared" si="27"/>
        <v>1</v>
      </c>
      <c r="P281" s="7">
        <f t="shared" si="28"/>
        <v>3</v>
      </c>
      <c r="Q281" s="7" t="str">
        <f>IF(K281="Open",Summary!$B$6-B281,"")</f>
        <v/>
      </c>
      <c r="R281" s="7">
        <f>IF(L281=1,IF(M281&lt;=Summary!$B$5,1,0),"")</f>
        <v>1</v>
      </c>
      <c r="S281" s="1" t="str">
        <f t="shared" si="29"/>
        <v>2026-02</v>
      </c>
    </row>
    <row r="282" spans="1:19" ht="23" customHeight="1">
      <c r="A282" s="1" t="s">
        <v>339</v>
      </c>
      <c r="B282" s="4">
        <v>46058</v>
      </c>
      <c r="C282" s="1" t="s">
        <v>18</v>
      </c>
      <c r="D282" s="1" t="s">
        <v>62</v>
      </c>
      <c r="E282" s="5">
        <v>39000</v>
      </c>
      <c r="F282" s="1">
        <v>0</v>
      </c>
      <c r="G282" s="4">
        <v>46058</v>
      </c>
      <c r="H282" s="4">
        <v>46064</v>
      </c>
      <c r="I282" s="4">
        <v>46066</v>
      </c>
      <c r="J282" s="4"/>
      <c r="K282" s="1" t="s">
        <v>55</v>
      </c>
      <c r="L282" s="7">
        <f t="shared" si="24"/>
        <v>1</v>
      </c>
      <c r="M282" s="7">
        <f t="shared" si="25"/>
        <v>8</v>
      </c>
      <c r="N282" s="7">
        <f t="shared" si="26"/>
        <v>0</v>
      </c>
      <c r="O282" s="7">
        <f t="shared" si="27"/>
        <v>6</v>
      </c>
      <c r="P282" s="7">
        <f t="shared" si="28"/>
        <v>2</v>
      </c>
      <c r="Q282" s="7" t="str">
        <f>IF(K282="Open",Summary!$B$6-B282,"")</f>
        <v/>
      </c>
      <c r="R282" s="7">
        <f>IF(L282=1,IF(M282&lt;=Summary!$B$5,1,0),"")</f>
        <v>0</v>
      </c>
      <c r="S282" s="1" t="str">
        <f t="shared" si="29"/>
        <v>2026-02</v>
      </c>
    </row>
    <row r="283" spans="1:19" ht="23" customHeight="1">
      <c r="A283" s="1" t="s">
        <v>340</v>
      </c>
      <c r="B283" s="4">
        <v>46045</v>
      </c>
      <c r="C283" s="1" t="s">
        <v>18</v>
      </c>
      <c r="D283" s="1" t="s">
        <v>59</v>
      </c>
      <c r="E283" s="5">
        <v>44000</v>
      </c>
      <c r="F283" s="1">
        <v>1</v>
      </c>
      <c r="G283" s="4">
        <v>46054</v>
      </c>
      <c r="H283" s="4">
        <v>46058</v>
      </c>
      <c r="I283" s="4">
        <v>46059</v>
      </c>
      <c r="J283" s="4"/>
      <c r="K283" s="1" t="s">
        <v>55</v>
      </c>
      <c r="L283" s="7">
        <f t="shared" si="24"/>
        <v>1</v>
      </c>
      <c r="M283" s="7">
        <f t="shared" si="25"/>
        <v>14</v>
      </c>
      <c r="N283" s="7">
        <f t="shared" si="26"/>
        <v>9</v>
      </c>
      <c r="O283" s="7">
        <f t="shared" si="27"/>
        <v>4</v>
      </c>
      <c r="P283" s="7">
        <f t="shared" si="28"/>
        <v>1</v>
      </c>
      <c r="Q283" s="7" t="str">
        <f>IF(K283="Open",Summary!$B$6-B283,"")</f>
        <v/>
      </c>
      <c r="R283" s="7">
        <f>IF(L283=1,IF(M283&lt;=Summary!$B$5,1,0),"")</f>
        <v>0</v>
      </c>
      <c r="S283" s="1" t="str">
        <f t="shared" si="29"/>
        <v>2026-01</v>
      </c>
    </row>
    <row r="284" spans="1:19" ht="23" customHeight="1">
      <c r="A284" s="1" t="s">
        <v>341</v>
      </c>
      <c r="B284" s="4">
        <v>46040</v>
      </c>
      <c r="C284" s="1" t="s">
        <v>18</v>
      </c>
      <c r="D284" s="1" t="s">
        <v>59</v>
      </c>
      <c r="E284" s="5">
        <v>37000</v>
      </c>
      <c r="F284" s="1">
        <v>0</v>
      </c>
      <c r="G284" s="4">
        <v>46042</v>
      </c>
      <c r="H284" s="4">
        <v>46048</v>
      </c>
      <c r="I284" s="4">
        <v>46049</v>
      </c>
      <c r="J284" s="4"/>
      <c r="K284" s="1" t="s">
        <v>55</v>
      </c>
      <c r="L284" s="7">
        <f t="shared" si="24"/>
        <v>1</v>
      </c>
      <c r="M284" s="7">
        <f t="shared" si="25"/>
        <v>9</v>
      </c>
      <c r="N284" s="7">
        <f t="shared" si="26"/>
        <v>2</v>
      </c>
      <c r="O284" s="7">
        <f t="shared" si="27"/>
        <v>6</v>
      </c>
      <c r="P284" s="7">
        <f t="shared" si="28"/>
        <v>1</v>
      </c>
      <c r="Q284" s="7" t="str">
        <f>IF(K284="Open",Summary!$B$6-B284,"")</f>
        <v/>
      </c>
      <c r="R284" s="7">
        <f>IF(L284=1,IF(M284&lt;=Summary!$B$5,1,0),"")</f>
        <v>0</v>
      </c>
      <c r="S284" s="1" t="str">
        <f t="shared" si="29"/>
        <v>2026-01</v>
      </c>
    </row>
    <row r="285" spans="1:19" ht="23" customHeight="1">
      <c r="A285" s="1" t="s">
        <v>342</v>
      </c>
      <c r="B285" s="4">
        <v>46036</v>
      </c>
      <c r="C285" s="1" t="s">
        <v>18</v>
      </c>
      <c r="D285" s="1" t="s">
        <v>71</v>
      </c>
      <c r="E285" s="5">
        <v>50000</v>
      </c>
      <c r="F285" s="1">
        <v>0</v>
      </c>
      <c r="G285" s="4">
        <v>46037</v>
      </c>
      <c r="H285" s="4">
        <v>46041</v>
      </c>
      <c r="I285" s="4">
        <v>46043</v>
      </c>
      <c r="J285" s="4"/>
      <c r="K285" s="1" t="s">
        <v>63</v>
      </c>
      <c r="L285" s="7">
        <f t="shared" si="24"/>
        <v>1</v>
      </c>
      <c r="M285" s="7">
        <f t="shared" si="25"/>
        <v>7</v>
      </c>
      <c r="N285" s="7">
        <f t="shared" si="26"/>
        <v>1</v>
      </c>
      <c r="O285" s="7">
        <f t="shared" si="27"/>
        <v>4</v>
      </c>
      <c r="P285" s="7">
        <f t="shared" si="28"/>
        <v>2</v>
      </c>
      <c r="Q285" s="7" t="str">
        <f>IF(K285="Open",Summary!$B$6-B285,"")</f>
        <v/>
      </c>
      <c r="R285" s="7">
        <f>IF(L285=1,IF(M285&lt;=Summary!$B$5,1,0),"")</f>
        <v>1</v>
      </c>
      <c r="S285" s="1" t="str">
        <f t="shared" si="29"/>
        <v>2026-01</v>
      </c>
    </row>
    <row r="286" spans="1:19" ht="23" customHeight="1">
      <c r="A286" s="1" t="s">
        <v>343</v>
      </c>
      <c r="B286" s="4">
        <v>46089</v>
      </c>
      <c r="C286" s="1" t="s">
        <v>18</v>
      </c>
      <c r="D286" s="1" t="s">
        <v>62</v>
      </c>
      <c r="E286" s="5">
        <v>21000</v>
      </c>
      <c r="F286" s="1">
        <v>1</v>
      </c>
      <c r="G286" s="4"/>
      <c r="H286" s="4"/>
      <c r="I286" s="4"/>
      <c r="J286" s="4">
        <v>46094</v>
      </c>
      <c r="K286" s="1" t="s">
        <v>86</v>
      </c>
      <c r="L286" s="7">
        <f t="shared" si="24"/>
        <v>0</v>
      </c>
      <c r="M286" s="7" t="str">
        <f t="shared" si="25"/>
        <v/>
      </c>
      <c r="N286" s="7" t="str">
        <f t="shared" si="26"/>
        <v/>
      </c>
      <c r="O286" s="7" t="str">
        <f t="shared" si="27"/>
        <v/>
      </c>
      <c r="P286" s="7" t="str">
        <f t="shared" si="28"/>
        <v/>
      </c>
      <c r="Q286" s="7" t="str">
        <f>IF(K286="Open",Summary!$B$6-B286,"")</f>
        <v/>
      </c>
      <c r="R286" s="7" t="str">
        <f>IF(L286=1,IF(M286&lt;=Summary!$B$5,1,0),"")</f>
        <v/>
      </c>
      <c r="S286" s="1" t="str">
        <f t="shared" si="29"/>
        <v>2026-03</v>
      </c>
    </row>
    <row r="287" spans="1:19" ht="23" customHeight="1">
      <c r="A287" s="1" t="s">
        <v>344</v>
      </c>
      <c r="B287" s="4">
        <v>46039</v>
      </c>
      <c r="C287" s="1" t="s">
        <v>19</v>
      </c>
      <c r="D287" s="1" t="s">
        <v>54</v>
      </c>
      <c r="E287" s="5">
        <v>37000</v>
      </c>
      <c r="F287" s="1">
        <v>0</v>
      </c>
      <c r="G287" s="4">
        <v>46039</v>
      </c>
      <c r="H287" s="4">
        <v>46040</v>
      </c>
      <c r="I287" s="4">
        <v>46042</v>
      </c>
      <c r="J287" s="4"/>
      <c r="K287" s="1" t="s">
        <v>55</v>
      </c>
      <c r="L287" s="7">
        <f t="shared" si="24"/>
        <v>1</v>
      </c>
      <c r="M287" s="7">
        <f t="shared" si="25"/>
        <v>3</v>
      </c>
      <c r="N287" s="7">
        <f t="shared" si="26"/>
        <v>0</v>
      </c>
      <c r="O287" s="7">
        <f t="shared" si="27"/>
        <v>1</v>
      </c>
      <c r="P287" s="7">
        <f t="shared" si="28"/>
        <v>2</v>
      </c>
      <c r="Q287" s="7" t="str">
        <f>IF(K287="Open",Summary!$B$6-B287,"")</f>
        <v/>
      </c>
      <c r="R287" s="7">
        <f>IF(L287=1,IF(M287&lt;=Summary!$B$5,1,0),"")</f>
        <v>1</v>
      </c>
      <c r="S287" s="1" t="str">
        <f t="shared" si="29"/>
        <v>2026-01</v>
      </c>
    </row>
    <row r="288" spans="1:19" ht="23" customHeight="1">
      <c r="A288" s="1" t="s">
        <v>345</v>
      </c>
      <c r="B288" s="4">
        <v>46088</v>
      </c>
      <c r="C288" s="1" t="s">
        <v>18</v>
      </c>
      <c r="D288" s="1" t="s">
        <v>59</v>
      </c>
      <c r="E288" s="5">
        <v>14000</v>
      </c>
      <c r="F288" s="1">
        <v>0</v>
      </c>
      <c r="G288" s="4">
        <v>46089</v>
      </c>
      <c r="H288" s="4">
        <v>46095</v>
      </c>
      <c r="I288" s="4">
        <v>46098</v>
      </c>
      <c r="J288" s="4"/>
      <c r="K288" s="1" t="s">
        <v>55</v>
      </c>
      <c r="L288" s="7">
        <f t="shared" si="24"/>
        <v>1</v>
      </c>
      <c r="M288" s="7">
        <f t="shared" si="25"/>
        <v>10</v>
      </c>
      <c r="N288" s="7">
        <f t="shared" si="26"/>
        <v>1</v>
      </c>
      <c r="O288" s="7">
        <f t="shared" si="27"/>
        <v>6</v>
      </c>
      <c r="P288" s="7">
        <f t="shared" si="28"/>
        <v>3</v>
      </c>
      <c r="Q288" s="7" t="str">
        <f>IF(K288="Open",Summary!$B$6-B288,"")</f>
        <v/>
      </c>
      <c r="R288" s="7">
        <f>IF(L288=1,IF(M288&lt;=Summary!$B$5,1,0),"")</f>
        <v>0</v>
      </c>
      <c r="S288" s="1" t="str">
        <f t="shared" si="29"/>
        <v>2026-03</v>
      </c>
    </row>
    <row r="289" spans="1:19" ht="23" customHeight="1">
      <c r="A289" s="1" t="s">
        <v>346</v>
      </c>
      <c r="B289" s="4">
        <v>46076</v>
      </c>
      <c r="C289" s="1" t="s">
        <v>18</v>
      </c>
      <c r="D289" s="1" t="s">
        <v>62</v>
      </c>
      <c r="E289" s="5">
        <v>14000</v>
      </c>
      <c r="F289" s="1">
        <v>1</v>
      </c>
      <c r="G289" s="4">
        <v>46084</v>
      </c>
      <c r="H289" s="4">
        <v>46092</v>
      </c>
      <c r="I289" s="4">
        <v>46094</v>
      </c>
      <c r="J289" s="4"/>
      <c r="K289" s="1" t="s">
        <v>55</v>
      </c>
      <c r="L289" s="7">
        <f t="shared" si="24"/>
        <v>1</v>
      </c>
      <c r="M289" s="7">
        <f t="shared" si="25"/>
        <v>18</v>
      </c>
      <c r="N289" s="7">
        <f t="shared" si="26"/>
        <v>8</v>
      </c>
      <c r="O289" s="7">
        <f t="shared" si="27"/>
        <v>8</v>
      </c>
      <c r="P289" s="7">
        <f t="shared" si="28"/>
        <v>2</v>
      </c>
      <c r="Q289" s="7" t="str">
        <f>IF(K289="Open",Summary!$B$6-B289,"")</f>
        <v/>
      </c>
      <c r="R289" s="7">
        <f>IF(L289=1,IF(M289&lt;=Summary!$B$5,1,0),"")</f>
        <v>0</v>
      </c>
      <c r="S289" s="1" t="str">
        <f t="shared" si="29"/>
        <v>2026-02</v>
      </c>
    </row>
    <row r="290" spans="1:19" ht="23" customHeight="1">
      <c r="A290" s="1" t="s">
        <v>347</v>
      </c>
      <c r="B290" s="4">
        <v>46057</v>
      </c>
      <c r="C290" s="1" t="s">
        <v>19</v>
      </c>
      <c r="D290" s="1" t="s">
        <v>54</v>
      </c>
      <c r="E290" s="5">
        <v>33000</v>
      </c>
      <c r="F290" s="1">
        <v>0</v>
      </c>
      <c r="G290" s="4">
        <v>46059</v>
      </c>
      <c r="H290" s="4">
        <v>46061</v>
      </c>
      <c r="I290" s="4">
        <v>46062</v>
      </c>
      <c r="J290" s="4"/>
      <c r="K290" s="1" t="s">
        <v>55</v>
      </c>
      <c r="L290" s="7">
        <f t="shared" si="24"/>
        <v>1</v>
      </c>
      <c r="M290" s="7">
        <f t="shared" si="25"/>
        <v>5</v>
      </c>
      <c r="N290" s="7">
        <f t="shared" si="26"/>
        <v>2</v>
      </c>
      <c r="O290" s="7">
        <f t="shared" si="27"/>
        <v>2</v>
      </c>
      <c r="P290" s="7">
        <f t="shared" si="28"/>
        <v>1</v>
      </c>
      <c r="Q290" s="7" t="str">
        <f>IF(K290="Open",Summary!$B$6-B290,"")</f>
        <v/>
      </c>
      <c r="R290" s="7">
        <f>IF(L290=1,IF(M290&lt;=Summary!$B$5,1,0),"")</f>
        <v>1</v>
      </c>
      <c r="S290" s="1" t="str">
        <f t="shared" si="29"/>
        <v>2026-02</v>
      </c>
    </row>
    <row r="291" spans="1:19" ht="23" customHeight="1">
      <c r="A291" s="1" t="s">
        <v>348</v>
      </c>
      <c r="B291" s="4">
        <v>46046</v>
      </c>
      <c r="C291" s="1" t="s">
        <v>19</v>
      </c>
      <c r="D291" s="1" t="s">
        <v>54</v>
      </c>
      <c r="E291" s="5">
        <v>11000</v>
      </c>
      <c r="F291" s="1">
        <v>0</v>
      </c>
      <c r="G291" s="4">
        <v>46047</v>
      </c>
      <c r="H291" s="4">
        <v>46048</v>
      </c>
      <c r="I291" s="4">
        <v>46051</v>
      </c>
      <c r="J291" s="4"/>
      <c r="K291" s="1" t="s">
        <v>55</v>
      </c>
      <c r="L291" s="7">
        <f t="shared" si="24"/>
        <v>1</v>
      </c>
      <c r="M291" s="7">
        <f t="shared" si="25"/>
        <v>5</v>
      </c>
      <c r="N291" s="7">
        <f t="shared" si="26"/>
        <v>1</v>
      </c>
      <c r="O291" s="7">
        <f t="shared" si="27"/>
        <v>1</v>
      </c>
      <c r="P291" s="7">
        <f t="shared" si="28"/>
        <v>3</v>
      </c>
      <c r="Q291" s="7" t="str">
        <f>IF(K291="Open",Summary!$B$6-B291,"")</f>
        <v/>
      </c>
      <c r="R291" s="7">
        <f>IF(L291=1,IF(M291&lt;=Summary!$B$5,1,0),"")</f>
        <v>1</v>
      </c>
      <c r="S291" s="1" t="str">
        <f t="shared" si="29"/>
        <v>2026-01</v>
      </c>
    </row>
    <row r="292" spans="1:19" ht="23" customHeight="1">
      <c r="A292" s="1" t="s">
        <v>349</v>
      </c>
      <c r="B292" s="4">
        <v>46069</v>
      </c>
      <c r="C292" s="1" t="s">
        <v>19</v>
      </c>
      <c r="D292" s="1" t="s">
        <v>54</v>
      </c>
      <c r="E292" s="5">
        <v>40000</v>
      </c>
      <c r="F292" s="1">
        <v>0</v>
      </c>
      <c r="G292" s="4">
        <v>46069</v>
      </c>
      <c r="H292" s="4">
        <v>46070</v>
      </c>
      <c r="I292" s="4">
        <v>46071</v>
      </c>
      <c r="J292" s="4"/>
      <c r="K292" s="1" t="s">
        <v>55</v>
      </c>
      <c r="L292" s="7">
        <f t="shared" si="24"/>
        <v>1</v>
      </c>
      <c r="M292" s="7">
        <f t="shared" si="25"/>
        <v>2</v>
      </c>
      <c r="N292" s="7">
        <f t="shared" si="26"/>
        <v>0</v>
      </c>
      <c r="O292" s="7">
        <f t="shared" si="27"/>
        <v>1</v>
      </c>
      <c r="P292" s="7">
        <f t="shared" si="28"/>
        <v>1</v>
      </c>
      <c r="Q292" s="7" t="str">
        <f>IF(K292="Open",Summary!$B$6-B292,"")</f>
        <v/>
      </c>
      <c r="R292" s="7">
        <f>IF(L292=1,IF(M292&lt;=Summary!$B$5,1,0),"")</f>
        <v>1</v>
      </c>
      <c r="S292" s="1" t="str">
        <f t="shared" si="29"/>
        <v>2026-02</v>
      </c>
    </row>
    <row r="293" spans="1:19" ht="23" customHeight="1">
      <c r="A293" s="1" t="s">
        <v>350</v>
      </c>
      <c r="B293" s="4">
        <v>46039</v>
      </c>
      <c r="C293" s="1" t="s">
        <v>18</v>
      </c>
      <c r="D293" s="1" t="s">
        <v>59</v>
      </c>
      <c r="E293" s="5">
        <v>13000</v>
      </c>
      <c r="F293" s="1">
        <v>1</v>
      </c>
      <c r="G293" s="4">
        <v>46049</v>
      </c>
      <c r="H293" s="4">
        <v>46055</v>
      </c>
      <c r="I293" s="4">
        <v>46058</v>
      </c>
      <c r="J293" s="4"/>
      <c r="K293" s="1" t="s">
        <v>55</v>
      </c>
      <c r="L293" s="7">
        <f t="shared" si="24"/>
        <v>1</v>
      </c>
      <c r="M293" s="7">
        <f t="shared" si="25"/>
        <v>19</v>
      </c>
      <c r="N293" s="7">
        <f t="shared" si="26"/>
        <v>10</v>
      </c>
      <c r="O293" s="7">
        <f t="shared" si="27"/>
        <v>6</v>
      </c>
      <c r="P293" s="7">
        <f t="shared" si="28"/>
        <v>3</v>
      </c>
      <c r="Q293" s="7" t="str">
        <f>IF(K293="Open",Summary!$B$6-B293,"")</f>
        <v/>
      </c>
      <c r="R293" s="7">
        <f>IF(L293=1,IF(M293&lt;=Summary!$B$5,1,0),"")</f>
        <v>0</v>
      </c>
      <c r="S293" s="1" t="str">
        <f t="shared" si="29"/>
        <v>2026-01</v>
      </c>
    </row>
    <row r="294" spans="1:19" ht="23" customHeight="1">
      <c r="A294" s="1" t="s">
        <v>351</v>
      </c>
      <c r="B294" s="4">
        <v>46082</v>
      </c>
      <c r="C294" s="1" t="s">
        <v>19</v>
      </c>
      <c r="D294" s="1" t="s">
        <v>54</v>
      </c>
      <c r="E294" s="5">
        <v>44000</v>
      </c>
      <c r="F294" s="1">
        <v>0</v>
      </c>
      <c r="G294" s="4">
        <v>46084</v>
      </c>
      <c r="H294" s="4">
        <v>46088</v>
      </c>
      <c r="I294" s="4">
        <v>46089</v>
      </c>
      <c r="J294" s="4"/>
      <c r="K294" s="1" t="s">
        <v>63</v>
      </c>
      <c r="L294" s="7">
        <f t="shared" si="24"/>
        <v>1</v>
      </c>
      <c r="M294" s="7">
        <f t="shared" si="25"/>
        <v>7</v>
      </c>
      <c r="N294" s="7">
        <f t="shared" si="26"/>
        <v>2</v>
      </c>
      <c r="O294" s="7">
        <f t="shared" si="27"/>
        <v>4</v>
      </c>
      <c r="P294" s="7">
        <f t="shared" si="28"/>
        <v>1</v>
      </c>
      <c r="Q294" s="7" t="str">
        <f>IF(K294="Open",Summary!$B$6-B294,"")</f>
        <v/>
      </c>
      <c r="R294" s="7">
        <f>IF(L294=1,IF(M294&lt;=Summary!$B$5,1,0),"")</f>
        <v>1</v>
      </c>
      <c r="S294" s="1" t="str">
        <f t="shared" si="29"/>
        <v>2026-03</v>
      </c>
    </row>
    <row r="295" spans="1:19" ht="23" customHeight="1">
      <c r="A295" s="1" t="s">
        <v>352</v>
      </c>
      <c r="B295" s="4">
        <v>46070</v>
      </c>
      <c r="C295" s="1" t="s">
        <v>18</v>
      </c>
      <c r="D295" s="1" t="s">
        <v>71</v>
      </c>
      <c r="E295" s="5">
        <v>17000</v>
      </c>
      <c r="F295" s="1">
        <v>0</v>
      </c>
      <c r="G295" s="4">
        <v>46072</v>
      </c>
      <c r="H295" s="4">
        <v>46074</v>
      </c>
      <c r="I295" s="4">
        <v>46076</v>
      </c>
      <c r="J295" s="4"/>
      <c r="K295" s="1" t="s">
        <v>55</v>
      </c>
      <c r="L295" s="7">
        <f t="shared" si="24"/>
        <v>1</v>
      </c>
      <c r="M295" s="7">
        <f t="shared" si="25"/>
        <v>6</v>
      </c>
      <c r="N295" s="7">
        <f t="shared" si="26"/>
        <v>2</v>
      </c>
      <c r="O295" s="7">
        <f t="shared" si="27"/>
        <v>2</v>
      </c>
      <c r="P295" s="7">
        <f t="shared" si="28"/>
        <v>2</v>
      </c>
      <c r="Q295" s="7" t="str">
        <f>IF(K295="Open",Summary!$B$6-B295,"")</f>
        <v/>
      </c>
      <c r="R295" s="7">
        <f>IF(L295=1,IF(M295&lt;=Summary!$B$5,1,0),"")</f>
        <v>1</v>
      </c>
      <c r="S295" s="1" t="str">
        <f t="shared" si="29"/>
        <v>2026-02</v>
      </c>
    </row>
    <row r="296" spans="1:19" ht="23" customHeight="1">
      <c r="A296" s="1" t="s">
        <v>353</v>
      </c>
      <c r="B296" s="4">
        <v>46032</v>
      </c>
      <c r="C296" s="1" t="s">
        <v>19</v>
      </c>
      <c r="D296" s="1" t="s">
        <v>54</v>
      </c>
      <c r="E296" s="5">
        <v>38000</v>
      </c>
      <c r="F296" s="1">
        <v>0</v>
      </c>
      <c r="G296" s="4">
        <v>46032</v>
      </c>
      <c r="H296" s="4">
        <v>46038</v>
      </c>
      <c r="I296" s="4">
        <v>46041</v>
      </c>
      <c r="J296" s="4"/>
      <c r="K296" s="1" t="s">
        <v>55</v>
      </c>
      <c r="L296" s="7">
        <f t="shared" si="24"/>
        <v>1</v>
      </c>
      <c r="M296" s="7">
        <f t="shared" si="25"/>
        <v>9</v>
      </c>
      <c r="N296" s="7">
        <f t="shared" si="26"/>
        <v>0</v>
      </c>
      <c r="O296" s="7">
        <f t="shared" si="27"/>
        <v>6</v>
      </c>
      <c r="P296" s="7">
        <f t="shared" si="28"/>
        <v>3</v>
      </c>
      <c r="Q296" s="7" t="str">
        <f>IF(K296="Open",Summary!$B$6-B296,"")</f>
        <v/>
      </c>
      <c r="R296" s="7">
        <f>IF(L296=1,IF(M296&lt;=Summary!$B$5,1,0),"")</f>
        <v>0</v>
      </c>
      <c r="S296" s="1" t="str">
        <f t="shared" si="29"/>
        <v>2026-01</v>
      </c>
    </row>
    <row r="297" spans="1:19" ht="23" customHeight="1">
      <c r="A297" s="1" t="s">
        <v>354</v>
      </c>
      <c r="B297" s="4">
        <v>46032</v>
      </c>
      <c r="C297" s="1" t="s">
        <v>19</v>
      </c>
      <c r="D297" s="1" t="s">
        <v>54</v>
      </c>
      <c r="E297" s="5">
        <v>39000</v>
      </c>
      <c r="F297" s="1">
        <v>0</v>
      </c>
      <c r="G297" s="4">
        <v>46032</v>
      </c>
      <c r="H297" s="4">
        <v>46036</v>
      </c>
      <c r="I297" s="4">
        <v>46039</v>
      </c>
      <c r="J297" s="4"/>
      <c r="K297" s="1" t="s">
        <v>63</v>
      </c>
      <c r="L297" s="7">
        <f t="shared" si="24"/>
        <v>1</v>
      </c>
      <c r="M297" s="7">
        <f t="shared" si="25"/>
        <v>7</v>
      </c>
      <c r="N297" s="7">
        <f t="shared" si="26"/>
        <v>0</v>
      </c>
      <c r="O297" s="7">
        <f t="shared" si="27"/>
        <v>4</v>
      </c>
      <c r="P297" s="7">
        <f t="shared" si="28"/>
        <v>3</v>
      </c>
      <c r="Q297" s="7" t="str">
        <f>IF(K297="Open",Summary!$B$6-B297,"")</f>
        <v/>
      </c>
      <c r="R297" s="7">
        <f>IF(L297=1,IF(M297&lt;=Summary!$B$5,1,0),"")</f>
        <v>1</v>
      </c>
      <c r="S297" s="1" t="str">
        <f t="shared" si="29"/>
        <v>2026-01</v>
      </c>
    </row>
    <row r="298" spans="1:19" ht="23" customHeight="1">
      <c r="A298" s="1" t="s">
        <v>355</v>
      </c>
      <c r="B298" s="4">
        <v>46066</v>
      </c>
      <c r="C298" s="1" t="s">
        <v>18</v>
      </c>
      <c r="D298" s="1" t="s">
        <v>62</v>
      </c>
      <c r="E298" s="5">
        <v>48000</v>
      </c>
      <c r="F298" s="1">
        <v>0</v>
      </c>
      <c r="G298" s="4">
        <v>46067</v>
      </c>
      <c r="H298" s="4">
        <v>46072</v>
      </c>
      <c r="I298" s="4">
        <v>46073</v>
      </c>
      <c r="J298" s="4"/>
      <c r="K298" s="1" t="s">
        <v>63</v>
      </c>
      <c r="L298" s="7">
        <f t="shared" si="24"/>
        <v>1</v>
      </c>
      <c r="M298" s="7">
        <f t="shared" si="25"/>
        <v>7</v>
      </c>
      <c r="N298" s="7">
        <f t="shared" si="26"/>
        <v>1</v>
      </c>
      <c r="O298" s="7">
        <f t="shared" si="27"/>
        <v>5</v>
      </c>
      <c r="P298" s="7">
        <f t="shared" si="28"/>
        <v>1</v>
      </c>
      <c r="Q298" s="7" t="str">
        <f>IF(K298="Open",Summary!$B$6-B298,"")</f>
        <v/>
      </c>
      <c r="R298" s="7">
        <f>IF(L298=1,IF(M298&lt;=Summary!$B$5,1,0),"")</f>
        <v>1</v>
      </c>
      <c r="S298" s="1" t="str">
        <f t="shared" si="29"/>
        <v>2026-02</v>
      </c>
    </row>
    <row r="299" spans="1:19" ht="23" customHeight="1">
      <c r="A299" s="1" t="s">
        <v>356</v>
      </c>
      <c r="B299" s="4">
        <v>46099</v>
      </c>
      <c r="C299" s="1" t="s">
        <v>18</v>
      </c>
      <c r="D299" s="1" t="s">
        <v>71</v>
      </c>
      <c r="E299" s="5">
        <v>30000</v>
      </c>
      <c r="F299" s="1">
        <v>0</v>
      </c>
      <c r="G299" s="4">
        <v>46100</v>
      </c>
      <c r="H299" s="4">
        <v>46102</v>
      </c>
      <c r="I299" s="4">
        <v>46105</v>
      </c>
      <c r="J299" s="4"/>
      <c r="K299" s="1" t="s">
        <v>63</v>
      </c>
      <c r="L299" s="7">
        <f t="shared" si="24"/>
        <v>1</v>
      </c>
      <c r="M299" s="7">
        <f t="shared" si="25"/>
        <v>6</v>
      </c>
      <c r="N299" s="7">
        <f t="shared" si="26"/>
        <v>1</v>
      </c>
      <c r="O299" s="7">
        <f t="shared" si="27"/>
        <v>2</v>
      </c>
      <c r="P299" s="7">
        <f t="shared" si="28"/>
        <v>3</v>
      </c>
      <c r="Q299" s="7" t="str">
        <f>IF(K299="Open",Summary!$B$6-B299,"")</f>
        <v/>
      </c>
      <c r="R299" s="7">
        <f>IF(L299=1,IF(M299&lt;=Summary!$B$5,1,0),"")</f>
        <v>1</v>
      </c>
      <c r="S299" s="1" t="str">
        <f t="shared" si="29"/>
        <v>2026-03</v>
      </c>
    </row>
    <row r="300" spans="1:19" ht="23" customHeight="1">
      <c r="A300" s="1" t="s">
        <v>357</v>
      </c>
      <c r="B300" s="4">
        <v>46087</v>
      </c>
      <c r="C300" s="1" t="s">
        <v>18</v>
      </c>
      <c r="D300" s="1" t="s">
        <v>71</v>
      </c>
      <c r="E300" s="5">
        <v>8000</v>
      </c>
      <c r="F300" s="1">
        <v>0</v>
      </c>
      <c r="G300" s="4">
        <v>46087</v>
      </c>
      <c r="H300" s="4">
        <v>46093</v>
      </c>
      <c r="I300" s="4">
        <v>46095</v>
      </c>
      <c r="J300" s="4"/>
      <c r="K300" s="1" t="s">
        <v>55</v>
      </c>
      <c r="L300" s="7">
        <f t="shared" si="24"/>
        <v>1</v>
      </c>
      <c r="M300" s="7">
        <f t="shared" si="25"/>
        <v>8</v>
      </c>
      <c r="N300" s="7">
        <f t="shared" si="26"/>
        <v>0</v>
      </c>
      <c r="O300" s="7">
        <f t="shared" si="27"/>
        <v>6</v>
      </c>
      <c r="P300" s="7">
        <f t="shared" si="28"/>
        <v>2</v>
      </c>
      <c r="Q300" s="7" t="str">
        <f>IF(K300="Open",Summary!$B$6-B300,"")</f>
        <v/>
      </c>
      <c r="R300" s="7">
        <f>IF(L300=1,IF(M300&lt;=Summary!$B$5,1,0),"")</f>
        <v>0</v>
      </c>
      <c r="S300" s="1" t="str">
        <f t="shared" si="29"/>
        <v>2026-03</v>
      </c>
    </row>
    <row r="301" spans="1:19" ht="23" customHeight="1">
      <c r="A301" s="1" t="s">
        <v>358</v>
      </c>
      <c r="B301" s="4">
        <v>46083</v>
      </c>
      <c r="C301" s="1" t="s">
        <v>18</v>
      </c>
      <c r="D301" s="1" t="s">
        <v>65</v>
      </c>
      <c r="E301" s="5">
        <v>43000</v>
      </c>
      <c r="F301" s="1">
        <v>1</v>
      </c>
      <c r="G301" s="4">
        <v>46087</v>
      </c>
      <c r="H301" s="4">
        <v>46090</v>
      </c>
      <c r="I301" s="4">
        <v>46091</v>
      </c>
      <c r="J301" s="4"/>
      <c r="K301" s="1" t="s">
        <v>55</v>
      </c>
      <c r="L301" s="7">
        <f t="shared" si="24"/>
        <v>1</v>
      </c>
      <c r="M301" s="7">
        <f t="shared" si="25"/>
        <v>8</v>
      </c>
      <c r="N301" s="7">
        <f t="shared" si="26"/>
        <v>4</v>
      </c>
      <c r="O301" s="7">
        <f t="shared" si="27"/>
        <v>3</v>
      </c>
      <c r="P301" s="7">
        <f t="shared" si="28"/>
        <v>1</v>
      </c>
      <c r="Q301" s="7" t="str">
        <f>IF(K301="Open",Summary!$B$6-B301,"")</f>
        <v/>
      </c>
      <c r="R301" s="7">
        <f>IF(L301=1,IF(M301&lt;=Summary!$B$5,1,0),"")</f>
        <v>0</v>
      </c>
      <c r="S301" s="1" t="str">
        <f t="shared" si="29"/>
        <v>2026-03</v>
      </c>
    </row>
    <row r="302" spans="1:19" ht="23" customHeight="1">
      <c r="A302" s="1" t="s">
        <v>359</v>
      </c>
      <c r="B302" s="4">
        <v>46047</v>
      </c>
      <c r="C302" s="1" t="s">
        <v>18</v>
      </c>
      <c r="D302" s="1" t="s">
        <v>62</v>
      </c>
      <c r="E302" s="5">
        <v>49000</v>
      </c>
      <c r="F302" s="1">
        <v>0</v>
      </c>
      <c r="G302" s="4">
        <v>46049</v>
      </c>
      <c r="H302" s="4">
        <v>46055</v>
      </c>
      <c r="I302" s="4">
        <v>46058</v>
      </c>
      <c r="J302" s="4"/>
      <c r="K302" s="1" t="s">
        <v>55</v>
      </c>
      <c r="L302" s="7">
        <f t="shared" si="24"/>
        <v>1</v>
      </c>
      <c r="M302" s="7">
        <f t="shared" si="25"/>
        <v>11</v>
      </c>
      <c r="N302" s="7">
        <f t="shared" si="26"/>
        <v>2</v>
      </c>
      <c r="O302" s="7">
        <f t="shared" si="27"/>
        <v>6</v>
      </c>
      <c r="P302" s="7">
        <f t="shared" si="28"/>
        <v>3</v>
      </c>
      <c r="Q302" s="7" t="str">
        <f>IF(K302="Open",Summary!$B$6-B302,"")</f>
        <v/>
      </c>
      <c r="R302" s="7">
        <f>IF(L302=1,IF(M302&lt;=Summary!$B$5,1,0),"")</f>
        <v>0</v>
      </c>
      <c r="S302" s="1" t="str">
        <f t="shared" si="29"/>
        <v>2026-01</v>
      </c>
    </row>
    <row r="303" spans="1:19" ht="23" customHeight="1">
      <c r="A303" s="1" t="s">
        <v>360</v>
      </c>
      <c r="B303" s="4">
        <v>46108</v>
      </c>
      <c r="C303" s="1" t="s">
        <v>19</v>
      </c>
      <c r="D303" s="1" t="s">
        <v>54</v>
      </c>
      <c r="E303" s="5">
        <v>31000</v>
      </c>
      <c r="F303" s="1">
        <v>1</v>
      </c>
      <c r="G303" s="4"/>
      <c r="H303" s="4"/>
      <c r="I303" s="4"/>
      <c r="J303" s="4"/>
      <c r="K303" s="1" t="s">
        <v>69</v>
      </c>
      <c r="L303" s="7">
        <f t="shared" si="24"/>
        <v>0</v>
      </c>
      <c r="M303" s="7" t="str">
        <f t="shared" si="25"/>
        <v/>
      </c>
      <c r="N303" s="7" t="str">
        <f t="shared" si="26"/>
        <v/>
      </c>
      <c r="O303" s="7" t="str">
        <f t="shared" si="27"/>
        <v/>
      </c>
      <c r="P303" s="7" t="str">
        <f t="shared" si="28"/>
        <v/>
      </c>
      <c r="Q303" s="7">
        <f>IF(K303="Open",Summary!$B$6-B303,"")</f>
        <v>4</v>
      </c>
      <c r="R303" s="7" t="str">
        <f>IF(L303=1,IF(M303&lt;=Summary!$B$5,1,0),"")</f>
        <v/>
      </c>
      <c r="S303" s="1" t="str">
        <f t="shared" si="29"/>
        <v>2026-03</v>
      </c>
    </row>
    <row r="304" spans="1:19" ht="23" customHeight="1">
      <c r="A304" s="1" t="s">
        <v>361</v>
      </c>
      <c r="B304" s="4">
        <v>46073</v>
      </c>
      <c r="C304" s="1" t="s">
        <v>18</v>
      </c>
      <c r="D304" s="1" t="s">
        <v>62</v>
      </c>
      <c r="E304" s="5">
        <v>12000</v>
      </c>
      <c r="F304" s="1">
        <v>0</v>
      </c>
      <c r="G304" s="4">
        <v>46073</v>
      </c>
      <c r="H304" s="4">
        <v>46081</v>
      </c>
      <c r="I304" s="4">
        <v>46084</v>
      </c>
      <c r="J304" s="4"/>
      <c r="K304" s="1" t="s">
        <v>55</v>
      </c>
      <c r="L304" s="7">
        <f t="shared" si="24"/>
        <v>1</v>
      </c>
      <c r="M304" s="7">
        <f t="shared" si="25"/>
        <v>11</v>
      </c>
      <c r="N304" s="7">
        <f t="shared" si="26"/>
        <v>0</v>
      </c>
      <c r="O304" s="7">
        <f t="shared" si="27"/>
        <v>8</v>
      </c>
      <c r="P304" s="7">
        <f t="shared" si="28"/>
        <v>3</v>
      </c>
      <c r="Q304" s="7" t="str">
        <f>IF(K304="Open",Summary!$B$6-B304,"")</f>
        <v/>
      </c>
      <c r="R304" s="7">
        <f>IF(L304=1,IF(M304&lt;=Summary!$B$5,1,0),"")</f>
        <v>0</v>
      </c>
      <c r="S304" s="1" t="str">
        <f t="shared" si="29"/>
        <v>2026-02</v>
      </c>
    </row>
    <row r="305" spans="1:19" ht="23" customHeight="1">
      <c r="A305" s="1" t="s">
        <v>362</v>
      </c>
      <c r="B305" s="4">
        <v>46077</v>
      </c>
      <c r="C305" s="1" t="s">
        <v>19</v>
      </c>
      <c r="D305" s="1" t="s">
        <v>54</v>
      </c>
      <c r="E305" s="5">
        <v>26000</v>
      </c>
      <c r="F305" s="1">
        <v>0</v>
      </c>
      <c r="G305" s="4">
        <v>46079</v>
      </c>
      <c r="H305" s="4">
        <v>46082</v>
      </c>
      <c r="I305" s="4">
        <v>46085</v>
      </c>
      <c r="J305" s="4"/>
      <c r="K305" s="1" t="s">
        <v>55</v>
      </c>
      <c r="L305" s="7">
        <f t="shared" si="24"/>
        <v>1</v>
      </c>
      <c r="M305" s="7">
        <f t="shared" si="25"/>
        <v>8</v>
      </c>
      <c r="N305" s="7">
        <f t="shared" si="26"/>
        <v>2</v>
      </c>
      <c r="O305" s="7">
        <f t="shared" si="27"/>
        <v>3</v>
      </c>
      <c r="P305" s="7">
        <f t="shared" si="28"/>
        <v>3</v>
      </c>
      <c r="Q305" s="7" t="str">
        <f>IF(K305="Open",Summary!$B$6-B305,"")</f>
        <v/>
      </c>
      <c r="R305" s="7">
        <f>IF(L305=1,IF(M305&lt;=Summary!$B$5,1,0),"")</f>
        <v>0</v>
      </c>
      <c r="S305" s="1" t="str">
        <f t="shared" si="29"/>
        <v>2026-02</v>
      </c>
    </row>
    <row r="306" spans="1:19" ht="23" customHeight="1">
      <c r="A306" s="1" t="s">
        <v>363</v>
      </c>
      <c r="B306" s="4">
        <v>46111</v>
      </c>
      <c r="C306" s="1" t="s">
        <v>19</v>
      </c>
      <c r="D306" s="1" t="s">
        <v>54</v>
      </c>
      <c r="E306" s="5">
        <v>29000</v>
      </c>
      <c r="F306" s="1">
        <v>0</v>
      </c>
      <c r="G306" s="4">
        <v>46112</v>
      </c>
      <c r="H306" s="4"/>
      <c r="I306" s="4"/>
      <c r="J306" s="4"/>
      <c r="K306" s="1" t="s">
        <v>69</v>
      </c>
      <c r="L306" s="7">
        <f t="shared" si="24"/>
        <v>0</v>
      </c>
      <c r="M306" s="7" t="str">
        <f t="shared" si="25"/>
        <v/>
      </c>
      <c r="N306" s="7" t="str">
        <f t="shared" si="26"/>
        <v/>
      </c>
      <c r="O306" s="7" t="str">
        <f t="shared" si="27"/>
        <v/>
      </c>
      <c r="P306" s="7" t="str">
        <f t="shared" si="28"/>
        <v/>
      </c>
      <c r="Q306" s="7">
        <f>IF(K306="Open",Summary!$B$6-B306,"")</f>
        <v>1</v>
      </c>
      <c r="R306" s="7" t="str">
        <f>IF(L306=1,IF(M306&lt;=Summary!$B$5,1,0),"")</f>
        <v/>
      </c>
      <c r="S306" s="1" t="str">
        <f t="shared" si="29"/>
        <v>2026-03</v>
      </c>
    </row>
    <row r="307" spans="1:19" ht="23" customHeight="1">
      <c r="A307" s="1" t="s">
        <v>364</v>
      </c>
      <c r="B307" s="4">
        <v>46043</v>
      </c>
      <c r="C307" s="1" t="s">
        <v>18</v>
      </c>
      <c r="D307" s="1" t="s">
        <v>59</v>
      </c>
      <c r="E307" s="5">
        <v>13000</v>
      </c>
      <c r="F307" s="1">
        <v>1</v>
      </c>
      <c r="G307" s="4"/>
      <c r="H307" s="4"/>
      <c r="I307" s="4"/>
      <c r="J307" s="4">
        <v>46045</v>
      </c>
      <c r="K307" s="1" t="s">
        <v>86</v>
      </c>
      <c r="L307" s="7">
        <f t="shared" si="24"/>
        <v>0</v>
      </c>
      <c r="M307" s="7" t="str">
        <f t="shared" si="25"/>
        <v/>
      </c>
      <c r="N307" s="7" t="str">
        <f t="shared" si="26"/>
        <v/>
      </c>
      <c r="O307" s="7" t="str">
        <f t="shared" si="27"/>
        <v/>
      </c>
      <c r="P307" s="7" t="str">
        <f t="shared" si="28"/>
        <v/>
      </c>
      <c r="Q307" s="7" t="str">
        <f>IF(K307="Open",Summary!$B$6-B307,"")</f>
        <v/>
      </c>
      <c r="R307" s="7" t="str">
        <f>IF(L307=1,IF(M307&lt;=Summary!$B$5,1,0),"")</f>
        <v/>
      </c>
      <c r="S307" s="1" t="str">
        <f t="shared" si="29"/>
        <v>2026-01</v>
      </c>
    </row>
    <row r="308" spans="1:19" ht="23" customHeight="1">
      <c r="A308" s="1" t="s">
        <v>365</v>
      </c>
      <c r="B308" s="4">
        <v>46047</v>
      </c>
      <c r="C308" s="1" t="s">
        <v>19</v>
      </c>
      <c r="D308" s="1" t="s">
        <v>54</v>
      </c>
      <c r="E308" s="5">
        <v>8000</v>
      </c>
      <c r="F308" s="1">
        <v>0</v>
      </c>
      <c r="G308" s="4">
        <v>46049</v>
      </c>
      <c r="H308" s="4">
        <v>46050</v>
      </c>
      <c r="I308" s="4">
        <v>46052</v>
      </c>
      <c r="J308" s="4"/>
      <c r="K308" s="1" t="s">
        <v>63</v>
      </c>
      <c r="L308" s="7">
        <f t="shared" si="24"/>
        <v>1</v>
      </c>
      <c r="M308" s="7">
        <f t="shared" si="25"/>
        <v>5</v>
      </c>
      <c r="N308" s="7">
        <f t="shared" si="26"/>
        <v>2</v>
      </c>
      <c r="O308" s="7">
        <f t="shared" si="27"/>
        <v>1</v>
      </c>
      <c r="P308" s="7">
        <f t="shared" si="28"/>
        <v>2</v>
      </c>
      <c r="Q308" s="7" t="str">
        <f>IF(K308="Open",Summary!$B$6-B308,"")</f>
        <v/>
      </c>
      <c r="R308" s="7">
        <f>IF(L308=1,IF(M308&lt;=Summary!$B$5,1,0),"")</f>
        <v>1</v>
      </c>
      <c r="S308" s="1" t="str">
        <f t="shared" si="29"/>
        <v>2026-01</v>
      </c>
    </row>
    <row r="309" spans="1:19" ht="23" customHeight="1">
      <c r="A309" s="1" t="s">
        <v>366</v>
      </c>
      <c r="B309" s="4">
        <v>46087</v>
      </c>
      <c r="C309" s="1" t="s">
        <v>19</v>
      </c>
      <c r="D309" s="1" t="s">
        <v>54</v>
      </c>
      <c r="E309" s="5">
        <v>29000</v>
      </c>
      <c r="F309" s="1">
        <v>0</v>
      </c>
      <c r="G309" s="4">
        <v>46087</v>
      </c>
      <c r="H309" s="4">
        <v>46092</v>
      </c>
      <c r="I309" s="4">
        <v>46093</v>
      </c>
      <c r="J309" s="4"/>
      <c r="K309" s="1" t="s">
        <v>55</v>
      </c>
      <c r="L309" s="7">
        <f t="shared" si="24"/>
        <v>1</v>
      </c>
      <c r="M309" s="7">
        <f t="shared" si="25"/>
        <v>6</v>
      </c>
      <c r="N309" s="7">
        <f t="shared" si="26"/>
        <v>0</v>
      </c>
      <c r="O309" s="7">
        <f t="shared" si="27"/>
        <v>5</v>
      </c>
      <c r="P309" s="7">
        <f t="shared" si="28"/>
        <v>1</v>
      </c>
      <c r="Q309" s="7" t="str">
        <f>IF(K309="Open",Summary!$B$6-B309,"")</f>
        <v/>
      </c>
      <c r="R309" s="7">
        <f>IF(L309=1,IF(M309&lt;=Summary!$B$5,1,0),"")</f>
        <v>1</v>
      </c>
      <c r="S309" s="1" t="str">
        <f t="shared" si="29"/>
        <v>2026-03</v>
      </c>
    </row>
    <row r="310" spans="1:19" ht="23" customHeight="1">
      <c r="A310" s="1" t="s">
        <v>367</v>
      </c>
      <c r="B310" s="4">
        <v>46072</v>
      </c>
      <c r="C310" s="1" t="s">
        <v>18</v>
      </c>
      <c r="D310" s="1" t="s">
        <v>71</v>
      </c>
      <c r="E310" s="5">
        <v>39000</v>
      </c>
      <c r="F310" s="1">
        <v>1</v>
      </c>
      <c r="G310" s="4">
        <v>46080</v>
      </c>
      <c r="H310" s="4">
        <v>46083</v>
      </c>
      <c r="I310" s="4">
        <v>46086</v>
      </c>
      <c r="J310" s="4"/>
      <c r="K310" s="1" t="s">
        <v>55</v>
      </c>
      <c r="L310" s="7">
        <f t="shared" si="24"/>
        <v>1</v>
      </c>
      <c r="M310" s="7">
        <f t="shared" si="25"/>
        <v>14</v>
      </c>
      <c r="N310" s="7">
        <f t="shared" si="26"/>
        <v>8</v>
      </c>
      <c r="O310" s="7">
        <f t="shared" si="27"/>
        <v>3</v>
      </c>
      <c r="P310" s="7">
        <f t="shared" si="28"/>
        <v>3</v>
      </c>
      <c r="Q310" s="7" t="str">
        <f>IF(K310="Open",Summary!$B$6-B310,"")</f>
        <v/>
      </c>
      <c r="R310" s="7">
        <f>IF(L310=1,IF(M310&lt;=Summary!$B$5,1,0),"")</f>
        <v>0</v>
      </c>
      <c r="S310" s="1" t="str">
        <f t="shared" si="29"/>
        <v>2026-02</v>
      </c>
    </row>
    <row r="311" spans="1:19" ht="23" customHeight="1">
      <c r="A311" s="1" t="s">
        <v>368</v>
      </c>
      <c r="B311" s="4">
        <v>46088</v>
      </c>
      <c r="C311" s="1" t="s">
        <v>19</v>
      </c>
      <c r="D311" s="1" t="s">
        <v>54</v>
      </c>
      <c r="E311" s="5">
        <v>29000</v>
      </c>
      <c r="F311" s="1">
        <v>0</v>
      </c>
      <c r="G311" s="4">
        <v>46088</v>
      </c>
      <c r="H311" s="4">
        <v>46093</v>
      </c>
      <c r="I311" s="4">
        <v>46095</v>
      </c>
      <c r="J311" s="4"/>
      <c r="K311" s="1" t="s">
        <v>55</v>
      </c>
      <c r="L311" s="7">
        <f t="shared" si="24"/>
        <v>1</v>
      </c>
      <c r="M311" s="7">
        <f t="shared" si="25"/>
        <v>7</v>
      </c>
      <c r="N311" s="7">
        <f t="shared" si="26"/>
        <v>0</v>
      </c>
      <c r="O311" s="7">
        <f t="shared" si="27"/>
        <v>5</v>
      </c>
      <c r="P311" s="7">
        <f t="shared" si="28"/>
        <v>2</v>
      </c>
      <c r="Q311" s="7" t="str">
        <f>IF(K311="Open",Summary!$B$6-B311,"")</f>
        <v/>
      </c>
      <c r="R311" s="7">
        <f>IF(L311=1,IF(M311&lt;=Summary!$B$5,1,0),"")</f>
        <v>1</v>
      </c>
      <c r="S311" s="1" t="str">
        <f t="shared" si="29"/>
        <v>2026-03</v>
      </c>
    </row>
    <row r="312" spans="1:19" ht="23" customHeight="1">
      <c r="A312" s="1" t="s">
        <v>369</v>
      </c>
      <c r="B312" s="4">
        <v>46024</v>
      </c>
      <c r="C312" s="1" t="s">
        <v>18</v>
      </c>
      <c r="D312" s="1" t="s">
        <v>71</v>
      </c>
      <c r="E312" s="5">
        <v>11000</v>
      </c>
      <c r="F312" s="1">
        <v>1</v>
      </c>
      <c r="G312" s="4"/>
      <c r="H312" s="4"/>
      <c r="I312" s="4"/>
      <c r="J312" s="4">
        <v>46025</v>
      </c>
      <c r="K312" s="1" t="s">
        <v>86</v>
      </c>
      <c r="L312" s="7">
        <f t="shared" si="24"/>
        <v>0</v>
      </c>
      <c r="M312" s="7" t="str">
        <f t="shared" si="25"/>
        <v/>
      </c>
      <c r="N312" s="7" t="str">
        <f t="shared" si="26"/>
        <v/>
      </c>
      <c r="O312" s="7" t="str">
        <f t="shared" si="27"/>
        <v/>
      </c>
      <c r="P312" s="7" t="str">
        <f t="shared" si="28"/>
        <v/>
      </c>
      <c r="Q312" s="7" t="str">
        <f>IF(K312="Open",Summary!$B$6-B312,"")</f>
        <v/>
      </c>
      <c r="R312" s="7" t="str">
        <f>IF(L312=1,IF(M312&lt;=Summary!$B$5,1,0),"")</f>
        <v/>
      </c>
      <c r="S312" s="1" t="str">
        <f t="shared" si="29"/>
        <v>2026-01</v>
      </c>
    </row>
    <row r="313" spans="1:19" ht="23" customHeight="1">
      <c r="A313" s="1" t="s">
        <v>370</v>
      </c>
      <c r="B313" s="4">
        <v>46062</v>
      </c>
      <c r="C313" s="1" t="s">
        <v>18</v>
      </c>
      <c r="D313" s="1" t="s">
        <v>59</v>
      </c>
      <c r="E313" s="5">
        <v>30000</v>
      </c>
      <c r="F313" s="1">
        <v>1</v>
      </c>
      <c r="G313" s="4"/>
      <c r="H313" s="4"/>
      <c r="I313" s="4"/>
      <c r="J313" s="4">
        <v>46067</v>
      </c>
      <c r="K313" s="1" t="s">
        <v>86</v>
      </c>
      <c r="L313" s="7">
        <f t="shared" si="24"/>
        <v>0</v>
      </c>
      <c r="M313" s="7" t="str">
        <f t="shared" si="25"/>
        <v/>
      </c>
      <c r="N313" s="7" t="str">
        <f t="shared" si="26"/>
        <v/>
      </c>
      <c r="O313" s="7" t="str">
        <f t="shared" si="27"/>
        <v/>
      </c>
      <c r="P313" s="7" t="str">
        <f t="shared" si="28"/>
        <v/>
      </c>
      <c r="Q313" s="7" t="str">
        <f>IF(K313="Open",Summary!$B$6-B313,"")</f>
        <v/>
      </c>
      <c r="R313" s="7" t="str">
        <f>IF(L313=1,IF(M313&lt;=Summary!$B$5,1,0),"")</f>
        <v/>
      </c>
      <c r="S313" s="1" t="str">
        <f t="shared" si="29"/>
        <v>2026-02</v>
      </c>
    </row>
    <row r="314" spans="1:19" ht="23" customHeight="1">
      <c r="A314" s="1" t="s">
        <v>371</v>
      </c>
      <c r="B314" s="4">
        <v>46026</v>
      </c>
      <c r="C314" s="1" t="s">
        <v>18</v>
      </c>
      <c r="D314" s="1" t="s">
        <v>71</v>
      </c>
      <c r="E314" s="5">
        <v>33000</v>
      </c>
      <c r="F314" s="1">
        <v>0</v>
      </c>
      <c r="G314" s="4">
        <v>46028</v>
      </c>
      <c r="H314" s="4">
        <v>46029</v>
      </c>
      <c r="I314" s="4">
        <v>46031</v>
      </c>
      <c r="J314" s="4"/>
      <c r="K314" s="1" t="s">
        <v>55</v>
      </c>
      <c r="L314" s="7">
        <f t="shared" si="24"/>
        <v>1</v>
      </c>
      <c r="M314" s="7">
        <f t="shared" si="25"/>
        <v>5</v>
      </c>
      <c r="N314" s="7">
        <f t="shared" si="26"/>
        <v>2</v>
      </c>
      <c r="O314" s="7">
        <f t="shared" si="27"/>
        <v>1</v>
      </c>
      <c r="P314" s="7">
        <f t="shared" si="28"/>
        <v>2</v>
      </c>
      <c r="Q314" s="7" t="str">
        <f>IF(K314="Open",Summary!$B$6-B314,"")</f>
        <v/>
      </c>
      <c r="R314" s="7">
        <f>IF(L314=1,IF(M314&lt;=Summary!$B$5,1,0),"")</f>
        <v>1</v>
      </c>
      <c r="S314" s="1" t="str">
        <f t="shared" si="29"/>
        <v>2026-01</v>
      </c>
    </row>
    <row r="315" spans="1:19" ht="23" customHeight="1">
      <c r="A315" s="1" t="s">
        <v>372</v>
      </c>
      <c r="B315" s="4">
        <v>46098</v>
      </c>
      <c r="C315" s="1" t="s">
        <v>18</v>
      </c>
      <c r="D315" s="1" t="s">
        <v>59</v>
      </c>
      <c r="E315" s="5">
        <v>41000</v>
      </c>
      <c r="F315" s="1">
        <v>0</v>
      </c>
      <c r="G315" s="4">
        <v>46098</v>
      </c>
      <c r="H315" s="4">
        <v>46103</v>
      </c>
      <c r="I315" s="4">
        <v>46105</v>
      </c>
      <c r="J315" s="4"/>
      <c r="K315" s="1" t="s">
        <v>63</v>
      </c>
      <c r="L315" s="7">
        <f t="shared" si="24"/>
        <v>1</v>
      </c>
      <c r="M315" s="7">
        <f t="shared" si="25"/>
        <v>7</v>
      </c>
      <c r="N315" s="7">
        <f t="shared" si="26"/>
        <v>0</v>
      </c>
      <c r="O315" s="7">
        <f t="shared" si="27"/>
        <v>5</v>
      </c>
      <c r="P315" s="7">
        <f t="shared" si="28"/>
        <v>2</v>
      </c>
      <c r="Q315" s="7" t="str">
        <f>IF(K315="Open",Summary!$B$6-B315,"")</f>
        <v/>
      </c>
      <c r="R315" s="7">
        <f>IF(L315=1,IF(M315&lt;=Summary!$B$5,1,0),"")</f>
        <v>1</v>
      </c>
      <c r="S315" s="1" t="str">
        <f t="shared" si="29"/>
        <v>2026-03</v>
      </c>
    </row>
    <row r="316" spans="1:19" ht="23" customHeight="1">
      <c r="A316" s="1" t="s">
        <v>373</v>
      </c>
      <c r="B316" s="4">
        <v>46083</v>
      </c>
      <c r="C316" s="1" t="s">
        <v>18</v>
      </c>
      <c r="D316" s="1" t="s">
        <v>62</v>
      </c>
      <c r="E316" s="5">
        <v>10000</v>
      </c>
      <c r="F316" s="1">
        <v>1</v>
      </c>
      <c r="G316" s="4">
        <v>46091</v>
      </c>
      <c r="H316" s="4">
        <v>46095</v>
      </c>
      <c r="I316" s="4">
        <v>46097</v>
      </c>
      <c r="J316" s="4"/>
      <c r="K316" s="1" t="s">
        <v>63</v>
      </c>
      <c r="L316" s="7">
        <f t="shared" si="24"/>
        <v>1</v>
      </c>
      <c r="M316" s="7">
        <f t="shared" si="25"/>
        <v>14</v>
      </c>
      <c r="N316" s="7">
        <f t="shared" si="26"/>
        <v>8</v>
      </c>
      <c r="O316" s="7">
        <f t="shared" si="27"/>
        <v>4</v>
      </c>
      <c r="P316" s="7">
        <f t="shared" si="28"/>
        <v>2</v>
      </c>
      <c r="Q316" s="7" t="str">
        <f>IF(K316="Open",Summary!$B$6-B316,"")</f>
        <v/>
      </c>
      <c r="R316" s="7">
        <f>IF(L316=1,IF(M316&lt;=Summary!$B$5,1,0),"")</f>
        <v>0</v>
      </c>
      <c r="S316" s="1" t="str">
        <f t="shared" si="29"/>
        <v>2026-03</v>
      </c>
    </row>
    <row r="317" spans="1:19" ht="23" customHeight="1">
      <c r="A317" s="1" t="s">
        <v>374</v>
      </c>
      <c r="B317" s="4">
        <v>46112</v>
      </c>
      <c r="C317" s="1" t="s">
        <v>19</v>
      </c>
      <c r="D317" s="1" t="s">
        <v>54</v>
      </c>
      <c r="E317" s="5">
        <v>14000</v>
      </c>
      <c r="F317" s="1">
        <v>0</v>
      </c>
      <c r="G317" s="4"/>
      <c r="H317" s="4"/>
      <c r="I317" s="4"/>
      <c r="J317" s="4"/>
      <c r="K317" s="1" t="s">
        <v>69</v>
      </c>
      <c r="L317" s="7">
        <f t="shared" si="24"/>
        <v>0</v>
      </c>
      <c r="M317" s="7" t="str">
        <f t="shared" si="25"/>
        <v/>
      </c>
      <c r="N317" s="7" t="str">
        <f t="shared" si="26"/>
        <v/>
      </c>
      <c r="O317" s="7" t="str">
        <f t="shared" si="27"/>
        <v/>
      </c>
      <c r="P317" s="7" t="str">
        <f t="shared" si="28"/>
        <v/>
      </c>
      <c r="Q317" s="7">
        <f>IF(K317="Open",Summary!$B$6-B317,"")</f>
        <v>0</v>
      </c>
      <c r="R317" s="7" t="str">
        <f>IF(L317=1,IF(M317&lt;=Summary!$B$5,1,0),"")</f>
        <v/>
      </c>
      <c r="S317" s="1" t="str">
        <f t="shared" si="29"/>
        <v>2026-03</v>
      </c>
    </row>
    <row r="318" spans="1:19" ht="23" customHeight="1">
      <c r="A318" s="1" t="s">
        <v>375</v>
      </c>
      <c r="B318" s="4">
        <v>46034</v>
      </c>
      <c r="C318" s="1" t="s">
        <v>18</v>
      </c>
      <c r="D318" s="1" t="s">
        <v>65</v>
      </c>
      <c r="E318" s="5">
        <v>24000</v>
      </c>
      <c r="F318" s="1">
        <v>1</v>
      </c>
      <c r="G318" s="4">
        <v>46039</v>
      </c>
      <c r="H318" s="4">
        <v>46042</v>
      </c>
      <c r="I318" s="4">
        <v>46044</v>
      </c>
      <c r="J318" s="4"/>
      <c r="K318" s="1" t="s">
        <v>63</v>
      </c>
      <c r="L318" s="7">
        <f t="shared" si="24"/>
        <v>1</v>
      </c>
      <c r="M318" s="7">
        <f t="shared" si="25"/>
        <v>10</v>
      </c>
      <c r="N318" s="7">
        <f t="shared" si="26"/>
        <v>5</v>
      </c>
      <c r="O318" s="7">
        <f t="shared" si="27"/>
        <v>3</v>
      </c>
      <c r="P318" s="7">
        <f t="shared" si="28"/>
        <v>2</v>
      </c>
      <c r="Q318" s="7" t="str">
        <f>IF(K318="Open",Summary!$B$6-B318,"")</f>
        <v/>
      </c>
      <c r="R318" s="7">
        <f>IF(L318=1,IF(M318&lt;=Summary!$B$5,1,0),"")</f>
        <v>0</v>
      </c>
      <c r="S318" s="1" t="str">
        <f t="shared" si="29"/>
        <v>2026-01</v>
      </c>
    </row>
    <row r="319" spans="1:19" ht="23" customHeight="1">
      <c r="A319" s="1" t="s">
        <v>376</v>
      </c>
      <c r="B319" s="4">
        <v>46105</v>
      </c>
      <c r="C319" s="1" t="s">
        <v>19</v>
      </c>
      <c r="D319" s="1" t="s">
        <v>54</v>
      </c>
      <c r="E319" s="5">
        <v>11000</v>
      </c>
      <c r="F319" s="1">
        <v>0</v>
      </c>
      <c r="G319" s="4">
        <v>46107</v>
      </c>
      <c r="H319" s="4">
        <v>46109</v>
      </c>
      <c r="I319" s="4">
        <v>46111</v>
      </c>
      <c r="J319" s="4"/>
      <c r="K319" s="1" t="s">
        <v>63</v>
      </c>
      <c r="L319" s="7">
        <f t="shared" si="24"/>
        <v>1</v>
      </c>
      <c r="M319" s="7">
        <f t="shared" si="25"/>
        <v>6</v>
      </c>
      <c r="N319" s="7">
        <f t="shared" si="26"/>
        <v>2</v>
      </c>
      <c r="O319" s="7">
        <f t="shared" si="27"/>
        <v>2</v>
      </c>
      <c r="P319" s="7">
        <f t="shared" si="28"/>
        <v>2</v>
      </c>
      <c r="Q319" s="7" t="str">
        <f>IF(K319="Open",Summary!$B$6-B319,"")</f>
        <v/>
      </c>
      <c r="R319" s="7">
        <f>IF(L319=1,IF(M319&lt;=Summary!$B$5,1,0),"")</f>
        <v>1</v>
      </c>
      <c r="S319" s="1" t="str">
        <f t="shared" si="29"/>
        <v>2026-03</v>
      </c>
    </row>
    <row r="320" spans="1:19" ht="23" customHeight="1">
      <c r="A320" s="1" t="s">
        <v>377</v>
      </c>
      <c r="B320" s="4">
        <v>46036</v>
      </c>
      <c r="C320" s="1" t="s">
        <v>19</v>
      </c>
      <c r="D320" s="1" t="s">
        <v>54</v>
      </c>
      <c r="E320" s="5">
        <v>48000</v>
      </c>
      <c r="F320" s="1">
        <v>1</v>
      </c>
      <c r="G320" s="4">
        <v>46042</v>
      </c>
      <c r="H320" s="4">
        <v>46045</v>
      </c>
      <c r="I320" s="4">
        <v>46046</v>
      </c>
      <c r="J320" s="4"/>
      <c r="K320" s="1" t="s">
        <v>55</v>
      </c>
      <c r="L320" s="7">
        <f t="shared" si="24"/>
        <v>1</v>
      </c>
      <c r="M320" s="7">
        <f t="shared" si="25"/>
        <v>10</v>
      </c>
      <c r="N320" s="7">
        <f t="shared" si="26"/>
        <v>6</v>
      </c>
      <c r="O320" s="7">
        <f t="shared" si="27"/>
        <v>3</v>
      </c>
      <c r="P320" s="7">
        <f t="shared" si="28"/>
        <v>1</v>
      </c>
      <c r="Q320" s="7" t="str">
        <f>IF(K320="Open",Summary!$B$6-B320,"")</f>
        <v/>
      </c>
      <c r="R320" s="7">
        <f>IF(L320=1,IF(M320&lt;=Summary!$B$5,1,0),"")</f>
        <v>0</v>
      </c>
      <c r="S320" s="1" t="str">
        <f t="shared" si="29"/>
        <v>2026-01</v>
      </c>
    </row>
    <row r="321" spans="1:19" ht="23" customHeight="1">
      <c r="A321" s="1" t="s">
        <v>378</v>
      </c>
      <c r="B321" s="4">
        <v>46069</v>
      </c>
      <c r="C321" s="1" t="s">
        <v>18</v>
      </c>
      <c r="D321" s="1" t="s">
        <v>71</v>
      </c>
      <c r="E321" s="5">
        <v>10000</v>
      </c>
      <c r="F321" s="1">
        <v>0</v>
      </c>
      <c r="G321" s="4">
        <v>46070</v>
      </c>
      <c r="H321" s="4">
        <v>46071</v>
      </c>
      <c r="I321" s="4">
        <v>46073</v>
      </c>
      <c r="J321" s="4"/>
      <c r="K321" s="1" t="s">
        <v>55</v>
      </c>
      <c r="L321" s="7">
        <f t="shared" si="24"/>
        <v>1</v>
      </c>
      <c r="M321" s="7">
        <f t="shared" si="25"/>
        <v>4</v>
      </c>
      <c r="N321" s="7">
        <f t="shared" si="26"/>
        <v>1</v>
      </c>
      <c r="O321" s="7">
        <f t="shared" si="27"/>
        <v>1</v>
      </c>
      <c r="P321" s="7">
        <f t="shared" si="28"/>
        <v>2</v>
      </c>
      <c r="Q321" s="7" t="str">
        <f>IF(K321="Open",Summary!$B$6-B321,"")</f>
        <v/>
      </c>
      <c r="R321" s="7">
        <f>IF(L321=1,IF(M321&lt;=Summary!$B$5,1,0),"")</f>
        <v>1</v>
      </c>
      <c r="S321" s="1" t="str">
        <f t="shared" si="29"/>
        <v>2026-02</v>
      </c>
    </row>
    <row r="322" spans="1:19" ht="23" customHeight="1">
      <c r="A322" s="1" t="s">
        <v>379</v>
      </c>
      <c r="B322" s="4">
        <v>46063</v>
      </c>
      <c r="C322" s="1" t="s">
        <v>18</v>
      </c>
      <c r="D322" s="1" t="s">
        <v>71</v>
      </c>
      <c r="E322" s="5">
        <v>35000</v>
      </c>
      <c r="F322" s="1">
        <v>1</v>
      </c>
      <c r="G322" s="4">
        <v>46068</v>
      </c>
      <c r="H322" s="4">
        <v>46069</v>
      </c>
      <c r="I322" s="4">
        <v>46072</v>
      </c>
      <c r="J322" s="4"/>
      <c r="K322" s="1" t="s">
        <v>55</v>
      </c>
      <c r="L322" s="7">
        <f t="shared" si="24"/>
        <v>1</v>
      </c>
      <c r="M322" s="7">
        <f t="shared" si="25"/>
        <v>9</v>
      </c>
      <c r="N322" s="7">
        <f t="shared" si="26"/>
        <v>5</v>
      </c>
      <c r="O322" s="7">
        <f t="shared" si="27"/>
        <v>1</v>
      </c>
      <c r="P322" s="7">
        <f t="shared" si="28"/>
        <v>3</v>
      </c>
      <c r="Q322" s="7" t="str">
        <f>IF(K322="Open",Summary!$B$6-B322,"")</f>
        <v/>
      </c>
      <c r="R322" s="7">
        <f>IF(L322=1,IF(M322&lt;=Summary!$B$5,1,0),"")</f>
        <v>0</v>
      </c>
      <c r="S322" s="1" t="str">
        <f t="shared" si="29"/>
        <v>2026-02</v>
      </c>
    </row>
    <row r="323" spans="1:19" ht="23" customHeight="1">
      <c r="A323" s="1" t="s">
        <v>380</v>
      </c>
      <c r="B323" s="4">
        <v>46069</v>
      </c>
      <c r="C323" s="1" t="s">
        <v>19</v>
      </c>
      <c r="D323" s="1" t="s">
        <v>54</v>
      </c>
      <c r="E323" s="5">
        <v>37000</v>
      </c>
      <c r="F323" s="1">
        <v>0</v>
      </c>
      <c r="G323" s="4">
        <v>46069</v>
      </c>
      <c r="H323" s="4">
        <v>46075</v>
      </c>
      <c r="I323" s="4">
        <v>46078</v>
      </c>
      <c r="J323" s="4"/>
      <c r="K323" s="1" t="s">
        <v>55</v>
      </c>
      <c r="L323" s="7">
        <f t="shared" si="24"/>
        <v>1</v>
      </c>
      <c r="M323" s="7">
        <f t="shared" si="25"/>
        <v>9</v>
      </c>
      <c r="N323" s="7">
        <f t="shared" si="26"/>
        <v>0</v>
      </c>
      <c r="O323" s="7">
        <f t="shared" si="27"/>
        <v>6</v>
      </c>
      <c r="P323" s="7">
        <f t="shared" si="28"/>
        <v>3</v>
      </c>
      <c r="Q323" s="7" t="str">
        <f>IF(K323="Open",Summary!$B$6-B323,"")</f>
        <v/>
      </c>
      <c r="R323" s="7">
        <f>IF(L323=1,IF(M323&lt;=Summary!$B$5,1,0),"")</f>
        <v>0</v>
      </c>
      <c r="S323" s="1" t="str">
        <f t="shared" si="29"/>
        <v>2026-02</v>
      </c>
    </row>
    <row r="324" spans="1:19" ht="23" customHeight="1">
      <c r="A324" s="1" t="s">
        <v>381</v>
      </c>
      <c r="B324" s="4">
        <v>46107</v>
      </c>
      <c r="C324" s="1" t="s">
        <v>19</v>
      </c>
      <c r="D324" s="1" t="s">
        <v>54</v>
      </c>
      <c r="E324" s="5">
        <v>29000</v>
      </c>
      <c r="F324" s="1">
        <v>1</v>
      </c>
      <c r="G324" s="4"/>
      <c r="H324" s="4"/>
      <c r="I324" s="4"/>
      <c r="J324" s="4"/>
      <c r="K324" s="1" t="s">
        <v>69</v>
      </c>
      <c r="L324" s="7">
        <f t="shared" si="24"/>
        <v>0</v>
      </c>
      <c r="M324" s="7" t="str">
        <f t="shared" si="25"/>
        <v/>
      </c>
      <c r="N324" s="7" t="str">
        <f t="shared" si="26"/>
        <v/>
      </c>
      <c r="O324" s="7" t="str">
        <f t="shared" si="27"/>
        <v/>
      </c>
      <c r="P324" s="7" t="str">
        <f t="shared" si="28"/>
        <v/>
      </c>
      <c r="Q324" s="7">
        <f>IF(K324="Open",Summary!$B$6-B324,"")</f>
        <v>5</v>
      </c>
      <c r="R324" s="7" t="str">
        <f>IF(L324=1,IF(M324&lt;=Summary!$B$5,1,0),"")</f>
        <v/>
      </c>
      <c r="S324" s="1" t="str">
        <f t="shared" si="29"/>
        <v>2026-03</v>
      </c>
    </row>
    <row r="325" spans="1:19" ht="23" customHeight="1">
      <c r="A325" s="1" t="s">
        <v>382</v>
      </c>
      <c r="B325" s="4">
        <v>46062</v>
      </c>
      <c r="C325" s="1" t="s">
        <v>18</v>
      </c>
      <c r="D325" s="1" t="s">
        <v>62</v>
      </c>
      <c r="E325" s="5">
        <v>34000</v>
      </c>
      <c r="F325" s="1">
        <v>0</v>
      </c>
      <c r="G325" s="4">
        <v>46062</v>
      </c>
      <c r="H325" s="4">
        <v>46069</v>
      </c>
      <c r="I325" s="4">
        <v>46070</v>
      </c>
      <c r="J325" s="4"/>
      <c r="K325" s="1" t="s">
        <v>55</v>
      </c>
      <c r="L325" s="7">
        <f t="shared" ref="L325:L388" si="30">IF(OR(K325="Approved",K325="Declined"),1,0)</f>
        <v>1</v>
      </c>
      <c r="M325" s="7">
        <f t="shared" ref="M325:M388" si="31">IF(L325=1,I325-B325,"")</f>
        <v>8</v>
      </c>
      <c r="N325" s="7">
        <f t="shared" ref="N325:N388" si="32">IF(L325=1,G325-B325,"")</f>
        <v>0</v>
      </c>
      <c r="O325" s="7">
        <f t="shared" ref="O325:O388" si="33">IF(L325=1,H325-G325,"")</f>
        <v>7</v>
      </c>
      <c r="P325" s="7">
        <f t="shared" ref="P325:P388" si="34">IF(L325=1,I325-H325,"")</f>
        <v>1</v>
      </c>
      <c r="Q325" s="7" t="str">
        <f>IF(K325="Open",Summary!$B$6-B325,"")</f>
        <v/>
      </c>
      <c r="R325" s="7">
        <f>IF(L325=1,IF(M325&lt;=Summary!$B$5,1,0),"")</f>
        <v>0</v>
      </c>
      <c r="S325" s="1" t="str">
        <f t="shared" ref="S325:S388" si="35">TEXT(B325,"yyyy-mm")</f>
        <v>2026-02</v>
      </c>
    </row>
    <row r="326" spans="1:19" ht="23" customHeight="1">
      <c r="A326" s="1" t="s">
        <v>383</v>
      </c>
      <c r="B326" s="4">
        <v>46044</v>
      </c>
      <c r="C326" s="1" t="s">
        <v>19</v>
      </c>
      <c r="D326" s="1" t="s">
        <v>54</v>
      </c>
      <c r="E326" s="5">
        <v>31000</v>
      </c>
      <c r="F326" s="1">
        <v>0</v>
      </c>
      <c r="G326" s="4">
        <v>46044</v>
      </c>
      <c r="H326" s="4">
        <v>46046</v>
      </c>
      <c r="I326" s="4">
        <v>46047</v>
      </c>
      <c r="J326" s="4"/>
      <c r="K326" s="1" t="s">
        <v>55</v>
      </c>
      <c r="L326" s="7">
        <f t="shared" si="30"/>
        <v>1</v>
      </c>
      <c r="M326" s="7">
        <f t="shared" si="31"/>
        <v>3</v>
      </c>
      <c r="N326" s="7">
        <f t="shared" si="32"/>
        <v>0</v>
      </c>
      <c r="O326" s="7">
        <f t="shared" si="33"/>
        <v>2</v>
      </c>
      <c r="P326" s="7">
        <f t="shared" si="34"/>
        <v>1</v>
      </c>
      <c r="Q326" s="7" t="str">
        <f>IF(K326="Open",Summary!$B$6-B326,"")</f>
        <v/>
      </c>
      <c r="R326" s="7">
        <f>IF(L326=1,IF(M326&lt;=Summary!$B$5,1,0),"")</f>
        <v>1</v>
      </c>
      <c r="S326" s="1" t="str">
        <f t="shared" si="35"/>
        <v>2026-01</v>
      </c>
    </row>
    <row r="327" spans="1:19" ht="23" customHeight="1">
      <c r="A327" s="1" t="s">
        <v>384</v>
      </c>
      <c r="B327" s="4">
        <v>46065</v>
      </c>
      <c r="C327" s="1" t="s">
        <v>18</v>
      </c>
      <c r="D327" s="1" t="s">
        <v>65</v>
      </c>
      <c r="E327" s="5">
        <v>29000</v>
      </c>
      <c r="F327" s="1">
        <v>0</v>
      </c>
      <c r="G327" s="4">
        <v>46066</v>
      </c>
      <c r="H327" s="4">
        <v>46071</v>
      </c>
      <c r="I327" s="4">
        <v>46072</v>
      </c>
      <c r="J327" s="4"/>
      <c r="K327" s="1" t="s">
        <v>63</v>
      </c>
      <c r="L327" s="7">
        <f t="shared" si="30"/>
        <v>1</v>
      </c>
      <c r="M327" s="7">
        <f t="shared" si="31"/>
        <v>7</v>
      </c>
      <c r="N327" s="7">
        <f t="shared" si="32"/>
        <v>1</v>
      </c>
      <c r="O327" s="7">
        <f t="shared" si="33"/>
        <v>5</v>
      </c>
      <c r="P327" s="7">
        <f t="shared" si="34"/>
        <v>1</v>
      </c>
      <c r="Q327" s="7" t="str">
        <f>IF(K327="Open",Summary!$B$6-B327,"")</f>
        <v/>
      </c>
      <c r="R327" s="7">
        <f>IF(L327=1,IF(M327&lt;=Summary!$B$5,1,0),"")</f>
        <v>1</v>
      </c>
      <c r="S327" s="1" t="str">
        <f t="shared" si="35"/>
        <v>2026-02</v>
      </c>
    </row>
    <row r="328" spans="1:19" ht="23" customHeight="1">
      <c r="A328" s="1" t="s">
        <v>385</v>
      </c>
      <c r="B328" s="4">
        <v>46027</v>
      </c>
      <c r="C328" s="1" t="s">
        <v>18</v>
      </c>
      <c r="D328" s="1" t="s">
        <v>65</v>
      </c>
      <c r="E328" s="5">
        <v>20000</v>
      </c>
      <c r="F328" s="1">
        <v>1</v>
      </c>
      <c r="G328" s="4">
        <v>46030</v>
      </c>
      <c r="H328" s="4">
        <v>46031</v>
      </c>
      <c r="I328" s="4">
        <v>46033</v>
      </c>
      <c r="J328" s="4"/>
      <c r="K328" s="1" t="s">
        <v>55</v>
      </c>
      <c r="L328" s="7">
        <f t="shared" si="30"/>
        <v>1</v>
      </c>
      <c r="M328" s="7">
        <f t="shared" si="31"/>
        <v>6</v>
      </c>
      <c r="N328" s="7">
        <f t="shared" si="32"/>
        <v>3</v>
      </c>
      <c r="O328" s="7">
        <f t="shared" si="33"/>
        <v>1</v>
      </c>
      <c r="P328" s="7">
        <f t="shared" si="34"/>
        <v>2</v>
      </c>
      <c r="Q328" s="7" t="str">
        <f>IF(K328="Open",Summary!$B$6-B328,"")</f>
        <v/>
      </c>
      <c r="R328" s="7">
        <f>IF(L328=1,IF(M328&lt;=Summary!$B$5,1,0),"")</f>
        <v>1</v>
      </c>
      <c r="S328" s="1" t="str">
        <f t="shared" si="35"/>
        <v>2026-01</v>
      </c>
    </row>
    <row r="329" spans="1:19" ht="23" customHeight="1">
      <c r="A329" s="1" t="s">
        <v>386</v>
      </c>
      <c r="B329" s="4">
        <v>46081</v>
      </c>
      <c r="C329" s="1" t="s">
        <v>19</v>
      </c>
      <c r="D329" s="1" t="s">
        <v>54</v>
      </c>
      <c r="E329" s="5">
        <v>21000</v>
      </c>
      <c r="F329" s="1">
        <v>1</v>
      </c>
      <c r="G329" s="4">
        <v>46089</v>
      </c>
      <c r="H329" s="4">
        <v>46095</v>
      </c>
      <c r="I329" s="4">
        <v>46097</v>
      </c>
      <c r="J329" s="4"/>
      <c r="K329" s="1" t="s">
        <v>55</v>
      </c>
      <c r="L329" s="7">
        <f t="shared" si="30"/>
        <v>1</v>
      </c>
      <c r="M329" s="7">
        <f t="shared" si="31"/>
        <v>16</v>
      </c>
      <c r="N329" s="7">
        <f t="shared" si="32"/>
        <v>8</v>
      </c>
      <c r="O329" s="7">
        <f t="shared" si="33"/>
        <v>6</v>
      </c>
      <c r="P329" s="7">
        <f t="shared" si="34"/>
        <v>2</v>
      </c>
      <c r="Q329" s="7" t="str">
        <f>IF(K329="Open",Summary!$B$6-B329,"")</f>
        <v/>
      </c>
      <c r="R329" s="7">
        <f>IF(L329=1,IF(M329&lt;=Summary!$B$5,1,0),"")</f>
        <v>0</v>
      </c>
      <c r="S329" s="1" t="str">
        <f t="shared" si="35"/>
        <v>2026-02</v>
      </c>
    </row>
    <row r="330" spans="1:19" ht="23" customHeight="1">
      <c r="A330" s="1" t="s">
        <v>387</v>
      </c>
      <c r="B330" s="4">
        <v>46045</v>
      </c>
      <c r="C330" s="1" t="s">
        <v>19</v>
      </c>
      <c r="D330" s="1" t="s">
        <v>54</v>
      </c>
      <c r="E330" s="5">
        <v>29000</v>
      </c>
      <c r="F330" s="1">
        <v>1</v>
      </c>
      <c r="G330" s="4">
        <v>46048</v>
      </c>
      <c r="H330" s="4">
        <v>46054</v>
      </c>
      <c r="I330" s="4">
        <v>46057</v>
      </c>
      <c r="J330" s="4"/>
      <c r="K330" s="1" t="s">
        <v>55</v>
      </c>
      <c r="L330" s="7">
        <f t="shared" si="30"/>
        <v>1</v>
      </c>
      <c r="M330" s="7">
        <f t="shared" si="31"/>
        <v>12</v>
      </c>
      <c r="N330" s="7">
        <f t="shared" si="32"/>
        <v>3</v>
      </c>
      <c r="O330" s="7">
        <f t="shared" si="33"/>
        <v>6</v>
      </c>
      <c r="P330" s="7">
        <f t="shared" si="34"/>
        <v>3</v>
      </c>
      <c r="Q330" s="7" t="str">
        <f>IF(K330="Open",Summary!$B$6-B330,"")</f>
        <v/>
      </c>
      <c r="R330" s="7">
        <f>IF(L330=1,IF(M330&lt;=Summary!$B$5,1,0),"")</f>
        <v>0</v>
      </c>
      <c r="S330" s="1" t="str">
        <f t="shared" si="35"/>
        <v>2026-01</v>
      </c>
    </row>
    <row r="331" spans="1:19" ht="23" customHeight="1">
      <c r="A331" s="1" t="s">
        <v>388</v>
      </c>
      <c r="B331" s="4">
        <v>46067</v>
      </c>
      <c r="C331" s="1" t="s">
        <v>18</v>
      </c>
      <c r="D331" s="1" t="s">
        <v>65</v>
      </c>
      <c r="E331" s="5">
        <v>11000</v>
      </c>
      <c r="F331" s="1">
        <v>0</v>
      </c>
      <c r="G331" s="4">
        <v>46067</v>
      </c>
      <c r="H331" s="4">
        <v>46072</v>
      </c>
      <c r="I331" s="4">
        <v>46074</v>
      </c>
      <c r="J331" s="4"/>
      <c r="K331" s="1" t="s">
        <v>55</v>
      </c>
      <c r="L331" s="7">
        <f t="shared" si="30"/>
        <v>1</v>
      </c>
      <c r="M331" s="7">
        <f t="shared" si="31"/>
        <v>7</v>
      </c>
      <c r="N331" s="7">
        <f t="shared" si="32"/>
        <v>0</v>
      </c>
      <c r="O331" s="7">
        <f t="shared" si="33"/>
        <v>5</v>
      </c>
      <c r="P331" s="7">
        <f t="shared" si="34"/>
        <v>2</v>
      </c>
      <c r="Q331" s="7" t="str">
        <f>IF(K331="Open",Summary!$B$6-B331,"")</f>
        <v/>
      </c>
      <c r="R331" s="7">
        <f>IF(L331=1,IF(M331&lt;=Summary!$B$5,1,0),"")</f>
        <v>1</v>
      </c>
      <c r="S331" s="1" t="str">
        <f t="shared" si="35"/>
        <v>2026-02</v>
      </c>
    </row>
    <row r="332" spans="1:19" ht="23" customHeight="1">
      <c r="A332" s="1" t="s">
        <v>389</v>
      </c>
      <c r="B332" s="4">
        <v>46052</v>
      </c>
      <c r="C332" s="1" t="s">
        <v>18</v>
      </c>
      <c r="D332" s="1" t="s">
        <v>71</v>
      </c>
      <c r="E332" s="5">
        <v>20000</v>
      </c>
      <c r="F332" s="1">
        <v>1</v>
      </c>
      <c r="G332" s="4">
        <v>46058</v>
      </c>
      <c r="H332" s="4">
        <v>46061</v>
      </c>
      <c r="I332" s="4">
        <v>46062</v>
      </c>
      <c r="J332" s="4"/>
      <c r="K332" s="1" t="s">
        <v>55</v>
      </c>
      <c r="L332" s="7">
        <f t="shared" si="30"/>
        <v>1</v>
      </c>
      <c r="M332" s="7">
        <f t="shared" si="31"/>
        <v>10</v>
      </c>
      <c r="N332" s="7">
        <f t="shared" si="32"/>
        <v>6</v>
      </c>
      <c r="O332" s="7">
        <f t="shared" si="33"/>
        <v>3</v>
      </c>
      <c r="P332" s="7">
        <f t="shared" si="34"/>
        <v>1</v>
      </c>
      <c r="Q332" s="7" t="str">
        <f>IF(K332="Open",Summary!$B$6-B332,"")</f>
        <v/>
      </c>
      <c r="R332" s="7">
        <f>IF(L332=1,IF(M332&lt;=Summary!$B$5,1,0),"")</f>
        <v>0</v>
      </c>
      <c r="S332" s="1" t="str">
        <f t="shared" si="35"/>
        <v>2026-01</v>
      </c>
    </row>
    <row r="333" spans="1:19" ht="23" customHeight="1">
      <c r="A333" s="1" t="s">
        <v>390</v>
      </c>
      <c r="B333" s="4">
        <v>46061</v>
      </c>
      <c r="C333" s="1" t="s">
        <v>18</v>
      </c>
      <c r="D333" s="1" t="s">
        <v>71</v>
      </c>
      <c r="E333" s="5">
        <v>14000</v>
      </c>
      <c r="F333" s="1">
        <v>0</v>
      </c>
      <c r="G333" s="4">
        <v>46062</v>
      </c>
      <c r="H333" s="4">
        <v>46068</v>
      </c>
      <c r="I333" s="4">
        <v>46070</v>
      </c>
      <c r="J333" s="4"/>
      <c r="K333" s="1" t="s">
        <v>55</v>
      </c>
      <c r="L333" s="7">
        <f t="shared" si="30"/>
        <v>1</v>
      </c>
      <c r="M333" s="7">
        <f t="shared" si="31"/>
        <v>9</v>
      </c>
      <c r="N333" s="7">
        <f t="shared" si="32"/>
        <v>1</v>
      </c>
      <c r="O333" s="7">
        <f t="shared" si="33"/>
        <v>6</v>
      </c>
      <c r="P333" s="7">
        <f t="shared" si="34"/>
        <v>2</v>
      </c>
      <c r="Q333" s="7" t="str">
        <f>IF(K333="Open",Summary!$B$6-B333,"")</f>
        <v/>
      </c>
      <c r="R333" s="7">
        <f>IF(L333=1,IF(M333&lt;=Summary!$B$5,1,0),"")</f>
        <v>0</v>
      </c>
      <c r="S333" s="1" t="str">
        <f t="shared" si="35"/>
        <v>2026-02</v>
      </c>
    </row>
    <row r="334" spans="1:19" ht="23" customHeight="1">
      <c r="A334" s="1" t="s">
        <v>391</v>
      </c>
      <c r="B334" s="4">
        <v>46098</v>
      </c>
      <c r="C334" s="1" t="s">
        <v>19</v>
      </c>
      <c r="D334" s="1" t="s">
        <v>54</v>
      </c>
      <c r="E334" s="5">
        <v>10000</v>
      </c>
      <c r="F334" s="1">
        <v>1</v>
      </c>
      <c r="G334" s="4">
        <v>46101</v>
      </c>
      <c r="H334" s="4">
        <v>46103</v>
      </c>
      <c r="I334" s="4">
        <v>46105</v>
      </c>
      <c r="J334" s="4"/>
      <c r="K334" s="1" t="s">
        <v>55</v>
      </c>
      <c r="L334" s="7">
        <f t="shared" si="30"/>
        <v>1</v>
      </c>
      <c r="M334" s="7">
        <f t="shared" si="31"/>
        <v>7</v>
      </c>
      <c r="N334" s="7">
        <f t="shared" si="32"/>
        <v>3</v>
      </c>
      <c r="O334" s="7">
        <f t="shared" si="33"/>
        <v>2</v>
      </c>
      <c r="P334" s="7">
        <f t="shared" si="34"/>
        <v>2</v>
      </c>
      <c r="Q334" s="7" t="str">
        <f>IF(K334="Open",Summary!$B$6-B334,"")</f>
        <v/>
      </c>
      <c r="R334" s="7">
        <f>IF(L334=1,IF(M334&lt;=Summary!$B$5,1,0),"")</f>
        <v>1</v>
      </c>
      <c r="S334" s="1" t="str">
        <f t="shared" si="35"/>
        <v>2026-03</v>
      </c>
    </row>
    <row r="335" spans="1:19" ht="23" customHeight="1">
      <c r="A335" s="1" t="s">
        <v>392</v>
      </c>
      <c r="B335" s="4">
        <v>46028</v>
      </c>
      <c r="C335" s="1" t="s">
        <v>19</v>
      </c>
      <c r="D335" s="1" t="s">
        <v>54</v>
      </c>
      <c r="E335" s="5">
        <v>18000</v>
      </c>
      <c r="F335" s="1">
        <v>1</v>
      </c>
      <c r="G335" s="4"/>
      <c r="H335" s="4"/>
      <c r="I335" s="4"/>
      <c r="J335" s="4">
        <v>46029</v>
      </c>
      <c r="K335" s="1" t="s">
        <v>86</v>
      </c>
      <c r="L335" s="7">
        <f t="shared" si="30"/>
        <v>0</v>
      </c>
      <c r="M335" s="7" t="str">
        <f t="shared" si="31"/>
        <v/>
      </c>
      <c r="N335" s="7" t="str">
        <f t="shared" si="32"/>
        <v/>
      </c>
      <c r="O335" s="7" t="str">
        <f t="shared" si="33"/>
        <v/>
      </c>
      <c r="P335" s="7" t="str">
        <f t="shared" si="34"/>
        <v/>
      </c>
      <c r="Q335" s="7" t="str">
        <f>IF(K335="Open",Summary!$B$6-B335,"")</f>
        <v/>
      </c>
      <c r="R335" s="7" t="str">
        <f>IF(L335=1,IF(M335&lt;=Summary!$B$5,1,0),"")</f>
        <v/>
      </c>
      <c r="S335" s="1" t="str">
        <f t="shared" si="35"/>
        <v>2026-01</v>
      </c>
    </row>
    <row r="336" spans="1:19" ht="23" customHeight="1">
      <c r="A336" s="1" t="s">
        <v>393</v>
      </c>
      <c r="B336" s="4">
        <v>46090</v>
      </c>
      <c r="C336" s="1" t="s">
        <v>19</v>
      </c>
      <c r="D336" s="1" t="s">
        <v>54</v>
      </c>
      <c r="E336" s="5">
        <v>18000</v>
      </c>
      <c r="F336" s="1">
        <v>0</v>
      </c>
      <c r="G336" s="4">
        <v>46090</v>
      </c>
      <c r="H336" s="4">
        <v>46094</v>
      </c>
      <c r="I336" s="4">
        <v>46096</v>
      </c>
      <c r="J336" s="4"/>
      <c r="K336" s="1" t="s">
        <v>55</v>
      </c>
      <c r="L336" s="7">
        <f t="shared" si="30"/>
        <v>1</v>
      </c>
      <c r="M336" s="7">
        <f t="shared" si="31"/>
        <v>6</v>
      </c>
      <c r="N336" s="7">
        <f t="shared" si="32"/>
        <v>0</v>
      </c>
      <c r="O336" s="7">
        <f t="shared" si="33"/>
        <v>4</v>
      </c>
      <c r="P336" s="7">
        <f t="shared" si="34"/>
        <v>2</v>
      </c>
      <c r="Q336" s="7" t="str">
        <f>IF(K336="Open",Summary!$B$6-B336,"")</f>
        <v/>
      </c>
      <c r="R336" s="7">
        <f>IF(L336=1,IF(M336&lt;=Summary!$B$5,1,0),"")</f>
        <v>1</v>
      </c>
      <c r="S336" s="1" t="str">
        <f t="shared" si="35"/>
        <v>2026-03</v>
      </c>
    </row>
    <row r="337" spans="1:19" ht="23" customHeight="1">
      <c r="A337" s="1" t="s">
        <v>394</v>
      </c>
      <c r="B337" s="4">
        <v>46048</v>
      </c>
      <c r="C337" s="1" t="s">
        <v>19</v>
      </c>
      <c r="D337" s="1" t="s">
        <v>54</v>
      </c>
      <c r="E337" s="5">
        <v>14000</v>
      </c>
      <c r="F337" s="1">
        <v>1</v>
      </c>
      <c r="G337" s="4">
        <v>46052</v>
      </c>
      <c r="H337" s="4">
        <v>46057</v>
      </c>
      <c r="I337" s="4">
        <v>46060</v>
      </c>
      <c r="J337" s="4"/>
      <c r="K337" s="1" t="s">
        <v>55</v>
      </c>
      <c r="L337" s="7">
        <f t="shared" si="30"/>
        <v>1</v>
      </c>
      <c r="M337" s="7">
        <f t="shared" si="31"/>
        <v>12</v>
      </c>
      <c r="N337" s="7">
        <f t="shared" si="32"/>
        <v>4</v>
      </c>
      <c r="O337" s="7">
        <f t="shared" si="33"/>
        <v>5</v>
      </c>
      <c r="P337" s="7">
        <f t="shared" si="34"/>
        <v>3</v>
      </c>
      <c r="Q337" s="7" t="str">
        <f>IF(K337="Open",Summary!$B$6-B337,"")</f>
        <v/>
      </c>
      <c r="R337" s="7">
        <f>IF(L337=1,IF(M337&lt;=Summary!$B$5,1,0),"")</f>
        <v>0</v>
      </c>
      <c r="S337" s="1" t="str">
        <f t="shared" si="35"/>
        <v>2026-01</v>
      </c>
    </row>
    <row r="338" spans="1:19" ht="23" customHeight="1">
      <c r="A338" s="1" t="s">
        <v>395</v>
      </c>
      <c r="B338" s="4">
        <v>46076</v>
      </c>
      <c r="C338" s="1" t="s">
        <v>19</v>
      </c>
      <c r="D338" s="1" t="s">
        <v>54</v>
      </c>
      <c r="E338" s="5">
        <v>38000</v>
      </c>
      <c r="F338" s="1">
        <v>1</v>
      </c>
      <c r="G338" s="4">
        <v>46081</v>
      </c>
      <c r="H338" s="4">
        <v>46087</v>
      </c>
      <c r="I338" s="4">
        <v>46090</v>
      </c>
      <c r="J338" s="4"/>
      <c r="K338" s="1" t="s">
        <v>55</v>
      </c>
      <c r="L338" s="7">
        <f t="shared" si="30"/>
        <v>1</v>
      </c>
      <c r="M338" s="7">
        <f t="shared" si="31"/>
        <v>14</v>
      </c>
      <c r="N338" s="7">
        <f t="shared" si="32"/>
        <v>5</v>
      </c>
      <c r="O338" s="7">
        <f t="shared" si="33"/>
        <v>6</v>
      </c>
      <c r="P338" s="7">
        <f t="shared" si="34"/>
        <v>3</v>
      </c>
      <c r="Q338" s="7" t="str">
        <f>IF(K338="Open",Summary!$B$6-B338,"")</f>
        <v/>
      </c>
      <c r="R338" s="7">
        <f>IF(L338=1,IF(M338&lt;=Summary!$B$5,1,0),"")</f>
        <v>0</v>
      </c>
      <c r="S338" s="1" t="str">
        <f t="shared" si="35"/>
        <v>2026-02</v>
      </c>
    </row>
    <row r="339" spans="1:19" ht="23" customHeight="1">
      <c r="A339" s="1" t="s">
        <v>396</v>
      </c>
      <c r="B339" s="4">
        <v>46070</v>
      </c>
      <c r="C339" s="1" t="s">
        <v>18</v>
      </c>
      <c r="D339" s="1" t="s">
        <v>71</v>
      </c>
      <c r="E339" s="5">
        <v>14000</v>
      </c>
      <c r="F339" s="1">
        <v>1</v>
      </c>
      <c r="G339" s="4">
        <v>46078</v>
      </c>
      <c r="H339" s="4">
        <v>46083</v>
      </c>
      <c r="I339" s="4">
        <v>46085</v>
      </c>
      <c r="J339" s="4"/>
      <c r="K339" s="1" t="s">
        <v>63</v>
      </c>
      <c r="L339" s="7">
        <f t="shared" si="30"/>
        <v>1</v>
      </c>
      <c r="M339" s="7">
        <f t="shared" si="31"/>
        <v>15</v>
      </c>
      <c r="N339" s="7">
        <f t="shared" si="32"/>
        <v>8</v>
      </c>
      <c r="O339" s="7">
        <f t="shared" si="33"/>
        <v>5</v>
      </c>
      <c r="P339" s="7">
        <f t="shared" si="34"/>
        <v>2</v>
      </c>
      <c r="Q339" s="7" t="str">
        <f>IF(K339="Open",Summary!$B$6-B339,"")</f>
        <v/>
      </c>
      <c r="R339" s="7">
        <f>IF(L339=1,IF(M339&lt;=Summary!$B$5,1,0),"")</f>
        <v>0</v>
      </c>
      <c r="S339" s="1" t="str">
        <f t="shared" si="35"/>
        <v>2026-02</v>
      </c>
    </row>
    <row r="340" spans="1:19" ht="23" customHeight="1">
      <c r="A340" s="1" t="s">
        <v>397</v>
      </c>
      <c r="B340" s="4">
        <v>46085</v>
      </c>
      <c r="C340" s="1" t="s">
        <v>19</v>
      </c>
      <c r="D340" s="1" t="s">
        <v>54</v>
      </c>
      <c r="E340" s="5">
        <v>15000</v>
      </c>
      <c r="F340" s="1">
        <v>0</v>
      </c>
      <c r="G340" s="4">
        <v>46085</v>
      </c>
      <c r="H340" s="4">
        <v>46088</v>
      </c>
      <c r="I340" s="4">
        <v>46090</v>
      </c>
      <c r="J340" s="4"/>
      <c r="K340" s="1" t="s">
        <v>55</v>
      </c>
      <c r="L340" s="7">
        <f t="shared" si="30"/>
        <v>1</v>
      </c>
      <c r="M340" s="7">
        <f t="shared" si="31"/>
        <v>5</v>
      </c>
      <c r="N340" s="7">
        <f t="shared" si="32"/>
        <v>0</v>
      </c>
      <c r="O340" s="7">
        <f t="shared" si="33"/>
        <v>3</v>
      </c>
      <c r="P340" s="7">
        <f t="shared" si="34"/>
        <v>2</v>
      </c>
      <c r="Q340" s="7" t="str">
        <f>IF(K340="Open",Summary!$B$6-B340,"")</f>
        <v/>
      </c>
      <c r="R340" s="7">
        <f>IF(L340=1,IF(M340&lt;=Summary!$B$5,1,0),"")</f>
        <v>1</v>
      </c>
      <c r="S340" s="1" t="str">
        <f t="shared" si="35"/>
        <v>2026-03</v>
      </c>
    </row>
    <row r="341" spans="1:19" ht="23" customHeight="1">
      <c r="A341" s="1" t="s">
        <v>398</v>
      </c>
      <c r="B341" s="4">
        <v>46052</v>
      </c>
      <c r="C341" s="1" t="s">
        <v>19</v>
      </c>
      <c r="D341" s="1" t="s">
        <v>54</v>
      </c>
      <c r="E341" s="5">
        <v>35000</v>
      </c>
      <c r="F341" s="1">
        <v>0</v>
      </c>
      <c r="G341" s="4">
        <v>46054</v>
      </c>
      <c r="H341" s="4">
        <v>46060</v>
      </c>
      <c r="I341" s="4">
        <v>46062</v>
      </c>
      <c r="J341" s="4"/>
      <c r="K341" s="1" t="s">
        <v>55</v>
      </c>
      <c r="L341" s="7">
        <f t="shared" si="30"/>
        <v>1</v>
      </c>
      <c r="M341" s="7">
        <f t="shared" si="31"/>
        <v>10</v>
      </c>
      <c r="N341" s="7">
        <f t="shared" si="32"/>
        <v>2</v>
      </c>
      <c r="O341" s="7">
        <f t="shared" si="33"/>
        <v>6</v>
      </c>
      <c r="P341" s="7">
        <f t="shared" si="34"/>
        <v>2</v>
      </c>
      <c r="Q341" s="7" t="str">
        <f>IF(K341="Open",Summary!$B$6-B341,"")</f>
        <v/>
      </c>
      <c r="R341" s="7">
        <f>IF(L341=1,IF(M341&lt;=Summary!$B$5,1,0),"")</f>
        <v>0</v>
      </c>
      <c r="S341" s="1" t="str">
        <f t="shared" si="35"/>
        <v>2026-01</v>
      </c>
    </row>
    <row r="342" spans="1:19" ht="23" customHeight="1">
      <c r="A342" s="1" t="s">
        <v>399</v>
      </c>
      <c r="B342" s="4">
        <v>46045</v>
      </c>
      <c r="C342" s="1" t="s">
        <v>18</v>
      </c>
      <c r="D342" s="1" t="s">
        <v>59</v>
      </c>
      <c r="E342" s="5">
        <v>38000</v>
      </c>
      <c r="F342" s="1">
        <v>1</v>
      </c>
      <c r="G342" s="4">
        <v>46048</v>
      </c>
      <c r="H342" s="4">
        <v>46053</v>
      </c>
      <c r="I342" s="4">
        <v>46054</v>
      </c>
      <c r="J342" s="4"/>
      <c r="K342" s="1" t="s">
        <v>55</v>
      </c>
      <c r="L342" s="7">
        <f t="shared" si="30"/>
        <v>1</v>
      </c>
      <c r="M342" s="7">
        <f t="shared" si="31"/>
        <v>9</v>
      </c>
      <c r="N342" s="7">
        <f t="shared" si="32"/>
        <v>3</v>
      </c>
      <c r="O342" s="7">
        <f t="shared" si="33"/>
        <v>5</v>
      </c>
      <c r="P342" s="7">
        <f t="shared" si="34"/>
        <v>1</v>
      </c>
      <c r="Q342" s="7" t="str">
        <f>IF(K342="Open",Summary!$B$6-B342,"")</f>
        <v/>
      </c>
      <c r="R342" s="7">
        <f>IF(L342=1,IF(M342&lt;=Summary!$B$5,1,0),"")</f>
        <v>0</v>
      </c>
      <c r="S342" s="1" t="str">
        <f t="shared" si="35"/>
        <v>2026-01</v>
      </c>
    </row>
    <row r="343" spans="1:19" ht="23" customHeight="1">
      <c r="A343" s="1" t="s">
        <v>400</v>
      </c>
      <c r="B343" s="4">
        <v>46095</v>
      </c>
      <c r="C343" s="1" t="s">
        <v>18</v>
      </c>
      <c r="D343" s="1" t="s">
        <v>62</v>
      </c>
      <c r="E343" s="5">
        <v>23000</v>
      </c>
      <c r="F343" s="1">
        <v>1</v>
      </c>
      <c r="G343" s="4"/>
      <c r="H343" s="4"/>
      <c r="I343" s="4"/>
      <c r="J343" s="4">
        <v>46098</v>
      </c>
      <c r="K343" s="1" t="s">
        <v>86</v>
      </c>
      <c r="L343" s="7">
        <f t="shared" si="30"/>
        <v>0</v>
      </c>
      <c r="M343" s="7" t="str">
        <f t="shared" si="31"/>
        <v/>
      </c>
      <c r="N343" s="7" t="str">
        <f t="shared" si="32"/>
        <v/>
      </c>
      <c r="O343" s="7" t="str">
        <f t="shared" si="33"/>
        <v/>
      </c>
      <c r="P343" s="7" t="str">
        <f t="shared" si="34"/>
        <v/>
      </c>
      <c r="Q343" s="7" t="str">
        <f>IF(K343="Open",Summary!$B$6-B343,"")</f>
        <v/>
      </c>
      <c r="R343" s="7" t="str">
        <f>IF(L343=1,IF(M343&lt;=Summary!$B$5,1,0),"")</f>
        <v/>
      </c>
      <c r="S343" s="1" t="str">
        <f t="shared" si="35"/>
        <v>2026-03</v>
      </c>
    </row>
    <row r="344" spans="1:19" ht="23" customHeight="1">
      <c r="A344" s="1" t="s">
        <v>401</v>
      </c>
      <c r="B344" s="4">
        <v>46083</v>
      </c>
      <c r="C344" s="1" t="s">
        <v>18</v>
      </c>
      <c r="D344" s="1" t="s">
        <v>65</v>
      </c>
      <c r="E344" s="5">
        <v>38000</v>
      </c>
      <c r="F344" s="1">
        <v>0</v>
      </c>
      <c r="G344" s="4">
        <v>46085</v>
      </c>
      <c r="H344" s="4">
        <v>46087</v>
      </c>
      <c r="I344" s="4">
        <v>46089</v>
      </c>
      <c r="J344" s="4"/>
      <c r="K344" s="1" t="s">
        <v>55</v>
      </c>
      <c r="L344" s="7">
        <f t="shared" si="30"/>
        <v>1</v>
      </c>
      <c r="M344" s="7">
        <f t="shared" si="31"/>
        <v>6</v>
      </c>
      <c r="N344" s="7">
        <f t="shared" si="32"/>
        <v>2</v>
      </c>
      <c r="O344" s="7">
        <f t="shared" si="33"/>
        <v>2</v>
      </c>
      <c r="P344" s="7">
        <f t="shared" si="34"/>
        <v>2</v>
      </c>
      <c r="Q344" s="7" t="str">
        <f>IF(K344="Open",Summary!$B$6-B344,"")</f>
        <v/>
      </c>
      <c r="R344" s="7">
        <f>IF(L344=1,IF(M344&lt;=Summary!$B$5,1,0),"")</f>
        <v>1</v>
      </c>
      <c r="S344" s="1" t="str">
        <f t="shared" si="35"/>
        <v>2026-03</v>
      </c>
    </row>
    <row r="345" spans="1:19" ht="23" customHeight="1">
      <c r="A345" s="1" t="s">
        <v>402</v>
      </c>
      <c r="B345" s="4">
        <v>46075</v>
      </c>
      <c r="C345" s="1" t="s">
        <v>18</v>
      </c>
      <c r="D345" s="1" t="s">
        <v>65</v>
      </c>
      <c r="E345" s="5">
        <v>32000</v>
      </c>
      <c r="F345" s="1">
        <v>0</v>
      </c>
      <c r="G345" s="4">
        <v>46076</v>
      </c>
      <c r="H345" s="4">
        <v>46082</v>
      </c>
      <c r="I345" s="4">
        <v>46083</v>
      </c>
      <c r="J345" s="4"/>
      <c r="K345" s="1" t="s">
        <v>55</v>
      </c>
      <c r="L345" s="7">
        <f t="shared" si="30"/>
        <v>1</v>
      </c>
      <c r="M345" s="7">
        <f t="shared" si="31"/>
        <v>8</v>
      </c>
      <c r="N345" s="7">
        <f t="shared" si="32"/>
        <v>1</v>
      </c>
      <c r="O345" s="7">
        <f t="shared" si="33"/>
        <v>6</v>
      </c>
      <c r="P345" s="7">
        <f t="shared" si="34"/>
        <v>1</v>
      </c>
      <c r="Q345" s="7" t="str">
        <f>IF(K345="Open",Summary!$B$6-B345,"")</f>
        <v/>
      </c>
      <c r="R345" s="7">
        <f>IF(L345=1,IF(M345&lt;=Summary!$B$5,1,0),"")</f>
        <v>0</v>
      </c>
      <c r="S345" s="1" t="str">
        <f t="shared" si="35"/>
        <v>2026-02</v>
      </c>
    </row>
    <row r="346" spans="1:19" ht="23" customHeight="1">
      <c r="A346" s="1" t="s">
        <v>403</v>
      </c>
      <c r="B346" s="4">
        <v>46100</v>
      </c>
      <c r="C346" s="1" t="s">
        <v>19</v>
      </c>
      <c r="D346" s="1" t="s">
        <v>54</v>
      </c>
      <c r="E346" s="5">
        <v>36000</v>
      </c>
      <c r="F346" s="1">
        <v>0</v>
      </c>
      <c r="G346" s="4">
        <v>46101</v>
      </c>
      <c r="H346" s="4">
        <v>46104</v>
      </c>
      <c r="I346" s="4">
        <v>46106</v>
      </c>
      <c r="J346" s="4"/>
      <c r="K346" s="1" t="s">
        <v>55</v>
      </c>
      <c r="L346" s="7">
        <f t="shared" si="30"/>
        <v>1</v>
      </c>
      <c r="M346" s="7">
        <f t="shared" si="31"/>
        <v>6</v>
      </c>
      <c r="N346" s="7">
        <f t="shared" si="32"/>
        <v>1</v>
      </c>
      <c r="O346" s="7">
        <f t="shared" si="33"/>
        <v>3</v>
      </c>
      <c r="P346" s="7">
        <f t="shared" si="34"/>
        <v>2</v>
      </c>
      <c r="Q346" s="7" t="str">
        <f>IF(K346="Open",Summary!$B$6-B346,"")</f>
        <v/>
      </c>
      <c r="R346" s="7">
        <f>IF(L346=1,IF(M346&lt;=Summary!$B$5,1,0),"")</f>
        <v>1</v>
      </c>
      <c r="S346" s="1" t="str">
        <f t="shared" si="35"/>
        <v>2026-03</v>
      </c>
    </row>
    <row r="347" spans="1:19" ht="23" customHeight="1">
      <c r="A347" s="1" t="s">
        <v>404</v>
      </c>
      <c r="B347" s="4">
        <v>46102</v>
      </c>
      <c r="C347" s="1" t="s">
        <v>19</v>
      </c>
      <c r="D347" s="1" t="s">
        <v>54</v>
      </c>
      <c r="E347" s="5">
        <v>18000</v>
      </c>
      <c r="F347" s="1">
        <v>0</v>
      </c>
      <c r="G347" s="4">
        <v>46103</v>
      </c>
      <c r="H347" s="4">
        <v>46107</v>
      </c>
      <c r="I347" s="4">
        <v>46108</v>
      </c>
      <c r="J347" s="4"/>
      <c r="K347" s="1" t="s">
        <v>55</v>
      </c>
      <c r="L347" s="7">
        <f t="shared" si="30"/>
        <v>1</v>
      </c>
      <c r="M347" s="7">
        <f t="shared" si="31"/>
        <v>6</v>
      </c>
      <c r="N347" s="7">
        <f t="shared" si="32"/>
        <v>1</v>
      </c>
      <c r="O347" s="7">
        <f t="shared" si="33"/>
        <v>4</v>
      </c>
      <c r="P347" s="7">
        <f t="shared" si="34"/>
        <v>1</v>
      </c>
      <c r="Q347" s="7" t="str">
        <f>IF(K347="Open",Summary!$B$6-B347,"")</f>
        <v/>
      </c>
      <c r="R347" s="7">
        <f>IF(L347=1,IF(M347&lt;=Summary!$B$5,1,0),"")</f>
        <v>1</v>
      </c>
      <c r="S347" s="1" t="str">
        <f t="shared" si="35"/>
        <v>2026-03</v>
      </c>
    </row>
    <row r="348" spans="1:19" ht="23" customHeight="1">
      <c r="A348" s="1" t="s">
        <v>405</v>
      </c>
      <c r="B348" s="4">
        <v>46104</v>
      </c>
      <c r="C348" s="1" t="s">
        <v>18</v>
      </c>
      <c r="D348" s="1" t="s">
        <v>71</v>
      </c>
      <c r="E348" s="5">
        <v>27000</v>
      </c>
      <c r="F348" s="1">
        <v>1</v>
      </c>
      <c r="G348" s="4">
        <v>46112</v>
      </c>
      <c r="H348" s="4"/>
      <c r="I348" s="4"/>
      <c r="J348" s="4"/>
      <c r="K348" s="1" t="s">
        <v>69</v>
      </c>
      <c r="L348" s="7">
        <f t="shared" si="30"/>
        <v>0</v>
      </c>
      <c r="M348" s="7" t="str">
        <f t="shared" si="31"/>
        <v/>
      </c>
      <c r="N348" s="7" t="str">
        <f t="shared" si="32"/>
        <v/>
      </c>
      <c r="O348" s="7" t="str">
        <f t="shared" si="33"/>
        <v/>
      </c>
      <c r="P348" s="7" t="str">
        <f t="shared" si="34"/>
        <v/>
      </c>
      <c r="Q348" s="7">
        <f>IF(K348="Open",Summary!$B$6-B348,"")</f>
        <v>8</v>
      </c>
      <c r="R348" s="7" t="str">
        <f>IF(L348=1,IF(M348&lt;=Summary!$B$5,1,0),"")</f>
        <v/>
      </c>
      <c r="S348" s="1" t="str">
        <f t="shared" si="35"/>
        <v>2026-03</v>
      </c>
    </row>
    <row r="349" spans="1:19" ht="23" customHeight="1">
      <c r="A349" s="1" t="s">
        <v>406</v>
      </c>
      <c r="B349" s="4">
        <v>46032</v>
      </c>
      <c r="C349" s="1" t="s">
        <v>18</v>
      </c>
      <c r="D349" s="1" t="s">
        <v>62</v>
      </c>
      <c r="E349" s="5">
        <v>18000</v>
      </c>
      <c r="F349" s="1">
        <v>1</v>
      </c>
      <c r="G349" s="4"/>
      <c r="H349" s="4"/>
      <c r="I349" s="4"/>
      <c r="J349" s="4">
        <v>46035</v>
      </c>
      <c r="K349" s="1" t="s">
        <v>86</v>
      </c>
      <c r="L349" s="7">
        <f t="shared" si="30"/>
        <v>0</v>
      </c>
      <c r="M349" s="7" t="str">
        <f t="shared" si="31"/>
        <v/>
      </c>
      <c r="N349" s="7" t="str">
        <f t="shared" si="32"/>
        <v/>
      </c>
      <c r="O349" s="7" t="str">
        <f t="shared" si="33"/>
        <v/>
      </c>
      <c r="P349" s="7" t="str">
        <f t="shared" si="34"/>
        <v/>
      </c>
      <c r="Q349" s="7" t="str">
        <f>IF(K349="Open",Summary!$B$6-B349,"")</f>
        <v/>
      </c>
      <c r="R349" s="7" t="str">
        <f>IF(L349=1,IF(M349&lt;=Summary!$B$5,1,0),"")</f>
        <v/>
      </c>
      <c r="S349" s="1" t="str">
        <f t="shared" si="35"/>
        <v>2026-01</v>
      </c>
    </row>
    <row r="350" spans="1:19" ht="23" customHeight="1">
      <c r="A350" s="1" t="s">
        <v>407</v>
      </c>
      <c r="B350" s="4">
        <v>46107</v>
      </c>
      <c r="C350" s="1" t="s">
        <v>19</v>
      </c>
      <c r="D350" s="1" t="s">
        <v>54</v>
      </c>
      <c r="E350" s="5">
        <v>23000</v>
      </c>
      <c r="F350" s="1">
        <v>0</v>
      </c>
      <c r="G350" s="4">
        <v>46108</v>
      </c>
      <c r="H350" s="4"/>
      <c r="I350" s="4"/>
      <c r="J350" s="4"/>
      <c r="K350" s="1" t="s">
        <v>69</v>
      </c>
      <c r="L350" s="7">
        <f t="shared" si="30"/>
        <v>0</v>
      </c>
      <c r="M350" s="7" t="str">
        <f t="shared" si="31"/>
        <v/>
      </c>
      <c r="N350" s="7" t="str">
        <f t="shared" si="32"/>
        <v/>
      </c>
      <c r="O350" s="7" t="str">
        <f t="shared" si="33"/>
        <v/>
      </c>
      <c r="P350" s="7" t="str">
        <f t="shared" si="34"/>
        <v/>
      </c>
      <c r="Q350" s="7">
        <f>IF(K350="Open",Summary!$B$6-B350,"")</f>
        <v>5</v>
      </c>
      <c r="R350" s="7" t="str">
        <f>IF(L350=1,IF(M350&lt;=Summary!$B$5,1,0),"")</f>
        <v/>
      </c>
      <c r="S350" s="1" t="str">
        <f t="shared" si="35"/>
        <v>2026-03</v>
      </c>
    </row>
    <row r="351" spans="1:19" ht="23" customHeight="1">
      <c r="A351" s="1" t="s">
        <v>408</v>
      </c>
      <c r="B351" s="4">
        <v>46082</v>
      </c>
      <c r="C351" s="1" t="s">
        <v>19</v>
      </c>
      <c r="D351" s="1" t="s">
        <v>54</v>
      </c>
      <c r="E351" s="5">
        <v>5000</v>
      </c>
      <c r="F351" s="1">
        <v>0</v>
      </c>
      <c r="G351" s="4">
        <v>46084</v>
      </c>
      <c r="H351" s="4">
        <v>46088</v>
      </c>
      <c r="I351" s="4">
        <v>46089</v>
      </c>
      <c r="J351" s="4"/>
      <c r="K351" s="1" t="s">
        <v>55</v>
      </c>
      <c r="L351" s="7">
        <f t="shared" si="30"/>
        <v>1</v>
      </c>
      <c r="M351" s="7">
        <f t="shared" si="31"/>
        <v>7</v>
      </c>
      <c r="N351" s="7">
        <f t="shared" si="32"/>
        <v>2</v>
      </c>
      <c r="O351" s="7">
        <f t="shared" si="33"/>
        <v>4</v>
      </c>
      <c r="P351" s="7">
        <f t="shared" si="34"/>
        <v>1</v>
      </c>
      <c r="Q351" s="7" t="str">
        <f>IF(K351="Open",Summary!$B$6-B351,"")</f>
        <v/>
      </c>
      <c r="R351" s="7">
        <f>IF(L351=1,IF(M351&lt;=Summary!$B$5,1,0),"")</f>
        <v>1</v>
      </c>
      <c r="S351" s="1" t="str">
        <f t="shared" si="35"/>
        <v>2026-03</v>
      </c>
    </row>
    <row r="352" spans="1:19" ht="23" customHeight="1">
      <c r="A352" s="1" t="s">
        <v>409</v>
      </c>
      <c r="B352" s="4">
        <v>46037</v>
      </c>
      <c r="C352" s="1" t="s">
        <v>19</v>
      </c>
      <c r="D352" s="1" t="s">
        <v>54</v>
      </c>
      <c r="E352" s="5">
        <v>23000</v>
      </c>
      <c r="F352" s="1">
        <v>0</v>
      </c>
      <c r="G352" s="4">
        <v>46039</v>
      </c>
      <c r="H352" s="4">
        <v>46043</v>
      </c>
      <c r="I352" s="4">
        <v>46046</v>
      </c>
      <c r="J352" s="4"/>
      <c r="K352" s="1" t="s">
        <v>63</v>
      </c>
      <c r="L352" s="7">
        <f t="shared" si="30"/>
        <v>1</v>
      </c>
      <c r="M352" s="7">
        <f t="shared" si="31"/>
        <v>9</v>
      </c>
      <c r="N352" s="7">
        <f t="shared" si="32"/>
        <v>2</v>
      </c>
      <c r="O352" s="7">
        <f t="shared" si="33"/>
        <v>4</v>
      </c>
      <c r="P352" s="7">
        <f t="shared" si="34"/>
        <v>3</v>
      </c>
      <c r="Q352" s="7" t="str">
        <f>IF(K352="Open",Summary!$B$6-B352,"")</f>
        <v/>
      </c>
      <c r="R352" s="7">
        <f>IF(L352=1,IF(M352&lt;=Summary!$B$5,1,0),"")</f>
        <v>0</v>
      </c>
      <c r="S352" s="1" t="str">
        <f t="shared" si="35"/>
        <v>2026-01</v>
      </c>
    </row>
    <row r="353" spans="1:19" ht="23" customHeight="1">
      <c r="A353" s="1" t="s">
        <v>410</v>
      </c>
      <c r="B353" s="4">
        <v>46041</v>
      </c>
      <c r="C353" s="1" t="s">
        <v>18</v>
      </c>
      <c r="D353" s="1" t="s">
        <v>59</v>
      </c>
      <c r="E353" s="5">
        <v>48000</v>
      </c>
      <c r="F353" s="1">
        <v>0</v>
      </c>
      <c r="G353" s="4">
        <v>46043</v>
      </c>
      <c r="H353" s="4">
        <v>46045</v>
      </c>
      <c r="I353" s="4">
        <v>46047</v>
      </c>
      <c r="J353" s="4"/>
      <c r="K353" s="1" t="s">
        <v>55</v>
      </c>
      <c r="L353" s="7">
        <f t="shared" si="30"/>
        <v>1</v>
      </c>
      <c r="M353" s="7">
        <f t="shared" si="31"/>
        <v>6</v>
      </c>
      <c r="N353" s="7">
        <f t="shared" si="32"/>
        <v>2</v>
      </c>
      <c r="O353" s="7">
        <f t="shared" si="33"/>
        <v>2</v>
      </c>
      <c r="P353" s="7">
        <f t="shared" si="34"/>
        <v>2</v>
      </c>
      <c r="Q353" s="7" t="str">
        <f>IF(K353="Open",Summary!$B$6-B353,"")</f>
        <v/>
      </c>
      <c r="R353" s="7">
        <f>IF(L353=1,IF(M353&lt;=Summary!$B$5,1,0),"")</f>
        <v>1</v>
      </c>
      <c r="S353" s="1" t="str">
        <f t="shared" si="35"/>
        <v>2026-01</v>
      </c>
    </row>
    <row r="354" spans="1:19" ht="23" customHeight="1">
      <c r="A354" s="1" t="s">
        <v>411</v>
      </c>
      <c r="B354" s="4">
        <v>46097</v>
      </c>
      <c r="C354" s="1" t="s">
        <v>18</v>
      </c>
      <c r="D354" s="1" t="s">
        <v>71</v>
      </c>
      <c r="E354" s="5">
        <v>13000</v>
      </c>
      <c r="F354" s="1">
        <v>0</v>
      </c>
      <c r="G354" s="4">
        <v>46097</v>
      </c>
      <c r="H354" s="4">
        <v>46101</v>
      </c>
      <c r="I354" s="4">
        <v>46102</v>
      </c>
      <c r="J354" s="4"/>
      <c r="K354" s="1" t="s">
        <v>55</v>
      </c>
      <c r="L354" s="7">
        <f t="shared" si="30"/>
        <v>1</v>
      </c>
      <c r="M354" s="7">
        <f t="shared" si="31"/>
        <v>5</v>
      </c>
      <c r="N354" s="7">
        <f t="shared" si="32"/>
        <v>0</v>
      </c>
      <c r="O354" s="7">
        <f t="shared" si="33"/>
        <v>4</v>
      </c>
      <c r="P354" s="7">
        <f t="shared" si="34"/>
        <v>1</v>
      </c>
      <c r="Q354" s="7" t="str">
        <f>IF(K354="Open",Summary!$B$6-B354,"")</f>
        <v/>
      </c>
      <c r="R354" s="7">
        <f>IF(L354=1,IF(M354&lt;=Summary!$B$5,1,0),"")</f>
        <v>1</v>
      </c>
      <c r="S354" s="1" t="str">
        <f t="shared" si="35"/>
        <v>2026-03</v>
      </c>
    </row>
    <row r="355" spans="1:19" ht="23" customHeight="1">
      <c r="A355" s="1" t="s">
        <v>412</v>
      </c>
      <c r="B355" s="4">
        <v>46081</v>
      </c>
      <c r="C355" s="1" t="s">
        <v>18</v>
      </c>
      <c r="D355" s="1" t="s">
        <v>62</v>
      </c>
      <c r="E355" s="5">
        <v>41000</v>
      </c>
      <c r="F355" s="1">
        <v>0</v>
      </c>
      <c r="G355" s="4">
        <v>46082</v>
      </c>
      <c r="H355" s="4">
        <v>46086</v>
      </c>
      <c r="I355" s="4">
        <v>46089</v>
      </c>
      <c r="J355" s="4"/>
      <c r="K355" s="1" t="s">
        <v>55</v>
      </c>
      <c r="L355" s="7">
        <f t="shared" si="30"/>
        <v>1</v>
      </c>
      <c r="M355" s="7">
        <f t="shared" si="31"/>
        <v>8</v>
      </c>
      <c r="N355" s="7">
        <f t="shared" si="32"/>
        <v>1</v>
      </c>
      <c r="O355" s="7">
        <f t="shared" si="33"/>
        <v>4</v>
      </c>
      <c r="P355" s="7">
        <f t="shared" si="34"/>
        <v>3</v>
      </c>
      <c r="Q355" s="7" t="str">
        <f>IF(K355="Open",Summary!$B$6-B355,"")</f>
        <v/>
      </c>
      <c r="R355" s="7">
        <f>IF(L355=1,IF(M355&lt;=Summary!$B$5,1,0),"")</f>
        <v>0</v>
      </c>
      <c r="S355" s="1" t="str">
        <f t="shared" si="35"/>
        <v>2026-02</v>
      </c>
    </row>
    <row r="356" spans="1:19" ht="23" customHeight="1">
      <c r="A356" s="1" t="s">
        <v>413</v>
      </c>
      <c r="B356" s="4">
        <v>46041</v>
      </c>
      <c r="C356" s="1" t="s">
        <v>18</v>
      </c>
      <c r="D356" s="1" t="s">
        <v>62</v>
      </c>
      <c r="E356" s="5">
        <v>22000</v>
      </c>
      <c r="F356" s="1">
        <v>0</v>
      </c>
      <c r="G356" s="4">
        <v>46041</v>
      </c>
      <c r="H356" s="4">
        <v>46048</v>
      </c>
      <c r="I356" s="4">
        <v>46051</v>
      </c>
      <c r="J356" s="4"/>
      <c r="K356" s="1" t="s">
        <v>55</v>
      </c>
      <c r="L356" s="7">
        <f t="shared" si="30"/>
        <v>1</v>
      </c>
      <c r="M356" s="7">
        <f t="shared" si="31"/>
        <v>10</v>
      </c>
      <c r="N356" s="7">
        <f t="shared" si="32"/>
        <v>0</v>
      </c>
      <c r="O356" s="7">
        <f t="shared" si="33"/>
        <v>7</v>
      </c>
      <c r="P356" s="7">
        <f t="shared" si="34"/>
        <v>3</v>
      </c>
      <c r="Q356" s="7" t="str">
        <f>IF(K356="Open",Summary!$B$6-B356,"")</f>
        <v/>
      </c>
      <c r="R356" s="7">
        <f>IF(L356=1,IF(M356&lt;=Summary!$B$5,1,0),"")</f>
        <v>0</v>
      </c>
      <c r="S356" s="1" t="str">
        <f t="shared" si="35"/>
        <v>2026-01</v>
      </c>
    </row>
    <row r="357" spans="1:19" ht="23" customHeight="1">
      <c r="A357" s="1" t="s">
        <v>414</v>
      </c>
      <c r="B357" s="4">
        <v>46077</v>
      </c>
      <c r="C357" s="1" t="s">
        <v>18</v>
      </c>
      <c r="D357" s="1" t="s">
        <v>59</v>
      </c>
      <c r="E357" s="5">
        <v>12000</v>
      </c>
      <c r="F357" s="1">
        <v>0</v>
      </c>
      <c r="G357" s="4">
        <v>46078</v>
      </c>
      <c r="H357" s="4">
        <v>46080</v>
      </c>
      <c r="I357" s="4">
        <v>46082</v>
      </c>
      <c r="J357" s="4"/>
      <c r="K357" s="1" t="s">
        <v>55</v>
      </c>
      <c r="L357" s="7">
        <f t="shared" si="30"/>
        <v>1</v>
      </c>
      <c r="M357" s="7">
        <f t="shared" si="31"/>
        <v>5</v>
      </c>
      <c r="N357" s="7">
        <f t="shared" si="32"/>
        <v>1</v>
      </c>
      <c r="O357" s="7">
        <f t="shared" si="33"/>
        <v>2</v>
      </c>
      <c r="P357" s="7">
        <f t="shared" si="34"/>
        <v>2</v>
      </c>
      <c r="Q357" s="7" t="str">
        <f>IF(K357="Open",Summary!$B$6-B357,"")</f>
        <v/>
      </c>
      <c r="R357" s="7">
        <f>IF(L357=1,IF(M357&lt;=Summary!$B$5,1,0),"")</f>
        <v>1</v>
      </c>
      <c r="S357" s="1" t="str">
        <f t="shared" si="35"/>
        <v>2026-02</v>
      </c>
    </row>
    <row r="358" spans="1:19" ht="23" customHeight="1">
      <c r="A358" s="1" t="s">
        <v>415</v>
      </c>
      <c r="B358" s="4">
        <v>46066</v>
      </c>
      <c r="C358" s="1" t="s">
        <v>18</v>
      </c>
      <c r="D358" s="1" t="s">
        <v>65</v>
      </c>
      <c r="E358" s="5">
        <v>34000</v>
      </c>
      <c r="F358" s="1">
        <v>0</v>
      </c>
      <c r="G358" s="4">
        <v>46068</v>
      </c>
      <c r="H358" s="4">
        <v>46073</v>
      </c>
      <c r="I358" s="4">
        <v>46075</v>
      </c>
      <c r="J358" s="4"/>
      <c r="K358" s="1" t="s">
        <v>55</v>
      </c>
      <c r="L358" s="7">
        <f t="shared" si="30"/>
        <v>1</v>
      </c>
      <c r="M358" s="7">
        <f t="shared" si="31"/>
        <v>9</v>
      </c>
      <c r="N358" s="7">
        <f t="shared" si="32"/>
        <v>2</v>
      </c>
      <c r="O358" s="7">
        <f t="shared" si="33"/>
        <v>5</v>
      </c>
      <c r="P358" s="7">
        <f t="shared" si="34"/>
        <v>2</v>
      </c>
      <c r="Q358" s="7" t="str">
        <f>IF(K358="Open",Summary!$B$6-B358,"")</f>
        <v/>
      </c>
      <c r="R358" s="7">
        <f>IF(L358=1,IF(M358&lt;=Summary!$B$5,1,0),"")</f>
        <v>0</v>
      </c>
      <c r="S358" s="1" t="str">
        <f t="shared" si="35"/>
        <v>2026-02</v>
      </c>
    </row>
    <row r="359" spans="1:19" ht="23" customHeight="1">
      <c r="A359" s="1" t="s">
        <v>416</v>
      </c>
      <c r="B359" s="4">
        <v>46065</v>
      </c>
      <c r="C359" s="1" t="s">
        <v>19</v>
      </c>
      <c r="D359" s="1" t="s">
        <v>54</v>
      </c>
      <c r="E359" s="5">
        <v>47000</v>
      </c>
      <c r="F359" s="1">
        <v>0</v>
      </c>
      <c r="G359" s="4">
        <v>46065</v>
      </c>
      <c r="H359" s="4">
        <v>46066</v>
      </c>
      <c r="I359" s="4">
        <v>46069</v>
      </c>
      <c r="J359" s="4"/>
      <c r="K359" s="1" t="s">
        <v>55</v>
      </c>
      <c r="L359" s="7">
        <f t="shared" si="30"/>
        <v>1</v>
      </c>
      <c r="M359" s="7">
        <f t="shared" si="31"/>
        <v>4</v>
      </c>
      <c r="N359" s="7">
        <f t="shared" si="32"/>
        <v>0</v>
      </c>
      <c r="O359" s="7">
        <f t="shared" si="33"/>
        <v>1</v>
      </c>
      <c r="P359" s="7">
        <f t="shared" si="34"/>
        <v>3</v>
      </c>
      <c r="Q359" s="7" t="str">
        <f>IF(K359="Open",Summary!$B$6-B359,"")</f>
        <v/>
      </c>
      <c r="R359" s="7">
        <f>IF(L359=1,IF(M359&lt;=Summary!$B$5,1,0),"")</f>
        <v>1</v>
      </c>
      <c r="S359" s="1" t="str">
        <f t="shared" si="35"/>
        <v>2026-02</v>
      </c>
    </row>
    <row r="360" spans="1:19" ht="23" customHeight="1">
      <c r="A360" s="1" t="s">
        <v>417</v>
      </c>
      <c r="B360" s="4">
        <v>46033</v>
      </c>
      <c r="C360" s="1" t="s">
        <v>18</v>
      </c>
      <c r="D360" s="1" t="s">
        <v>65</v>
      </c>
      <c r="E360" s="5">
        <v>48000</v>
      </c>
      <c r="F360" s="1">
        <v>1</v>
      </c>
      <c r="G360" s="4">
        <v>46042</v>
      </c>
      <c r="H360" s="4">
        <v>46047</v>
      </c>
      <c r="I360" s="4">
        <v>46050</v>
      </c>
      <c r="J360" s="4"/>
      <c r="K360" s="1" t="s">
        <v>55</v>
      </c>
      <c r="L360" s="7">
        <f t="shared" si="30"/>
        <v>1</v>
      </c>
      <c r="M360" s="7">
        <f t="shared" si="31"/>
        <v>17</v>
      </c>
      <c r="N360" s="7">
        <f t="shared" si="32"/>
        <v>9</v>
      </c>
      <c r="O360" s="7">
        <f t="shared" si="33"/>
        <v>5</v>
      </c>
      <c r="P360" s="7">
        <f t="shared" si="34"/>
        <v>3</v>
      </c>
      <c r="Q360" s="7" t="str">
        <f>IF(K360="Open",Summary!$B$6-B360,"")</f>
        <v/>
      </c>
      <c r="R360" s="7">
        <f>IF(L360=1,IF(M360&lt;=Summary!$B$5,1,0),"")</f>
        <v>0</v>
      </c>
      <c r="S360" s="1" t="str">
        <f t="shared" si="35"/>
        <v>2026-01</v>
      </c>
    </row>
    <row r="361" spans="1:19" ht="23" customHeight="1">
      <c r="A361" s="1" t="s">
        <v>418</v>
      </c>
      <c r="B361" s="4">
        <v>46105</v>
      </c>
      <c r="C361" s="1" t="s">
        <v>19</v>
      </c>
      <c r="D361" s="1" t="s">
        <v>54</v>
      </c>
      <c r="E361" s="5">
        <v>23000</v>
      </c>
      <c r="F361" s="1">
        <v>0</v>
      </c>
      <c r="G361" s="4">
        <v>46107</v>
      </c>
      <c r="H361" s="4">
        <v>46111</v>
      </c>
      <c r="I361" s="4"/>
      <c r="J361" s="4"/>
      <c r="K361" s="1" t="s">
        <v>69</v>
      </c>
      <c r="L361" s="7">
        <f t="shared" si="30"/>
        <v>0</v>
      </c>
      <c r="M361" s="7" t="str">
        <f t="shared" si="31"/>
        <v/>
      </c>
      <c r="N361" s="7" t="str">
        <f t="shared" si="32"/>
        <v/>
      </c>
      <c r="O361" s="7" t="str">
        <f t="shared" si="33"/>
        <v/>
      </c>
      <c r="P361" s="7" t="str">
        <f t="shared" si="34"/>
        <v/>
      </c>
      <c r="Q361" s="7">
        <f>IF(K361="Open",Summary!$B$6-B361,"")</f>
        <v>7</v>
      </c>
      <c r="R361" s="7" t="str">
        <f>IF(L361=1,IF(M361&lt;=Summary!$B$5,1,0),"")</f>
        <v/>
      </c>
      <c r="S361" s="1" t="str">
        <f t="shared" si="35"/>
        <v>2026-03</v>
      </c>
    </row>
    <row r="362" spans="1:19" ht="23" customHeight="1">
      <c r="A362" s="1" t="s">
        <v>419</v>
      </c>
      <c r="B362" s="4">
        <v>46038</v>
      </c>
      <c r="C362" s="1" t="s">
        <v>18</v>
      </c>
      <c r="D362" s="1" t="s">
        <v>59</v>
      </c>
      <c r="E362" s="5">
        <v>36000</v>
      </c>
      <c r="F362" s="1">
        <v>0</v>
      </c>
      <c r="G362" s="4">
        <v>46038</v>
      </c>
      <c r="H362" s="4">
        <v>46044</v>
      </c>
      <c r="I362" s="4">
        <v>46046</v>
      </c>
      <c r="J362" s="4"/>
      <c r="K362" s="1" t="s">
        <v>55</v>
      </c>
      <c r="L362" s="7">
        <f t="shared" si="30"/>
        <v>1</v>
      </c>
      <c r="M362" s="7">
        <f t="shared" si="31"/>
        <v>8</v>
      </c>
      <c r="N362" s="7">
        <f t="shared" si="32"/>
        <v>0</v>
      </c>
      <c r="O362" s="7">
        <f t="shared" si="33"/>
        <v>6</v>
      </c>
      <c r="P362" s="7">
        <f t="shared" si="34"/>
        <v>2</v>
      </c>
      <c r="Q362" s="7" t="str">
        <f>IF(K362="Open",Summary!$B$6-B362,"")</f>
        <v/>
      </c>
      <c r="R362" s="7">
        <f>IF(L362=1,IF(M362&lt;=Summary!$B$5,1,0),"")</f>
        <v>0</v>
      </c>
      <c r="S362" s="1" t="str">
        <f t="shared" si="35"/>
        <v>2026-01</v>
      </c>
    </row>
    <row r="363" spans="1:19" ht="23" customHeight="1">
      <c r="A363" s="1" t="s">
        <v>420</v>
      </c>
      <c r="B363" s="4">
        <v>46079</v>
      </c>
      <c r="C363" s="1" t="s">
        <v>18</v>
      </c>
      <c r="D363" s="1" t="s">
        <v>62</v>
      </c>
      <c r="E363" s="5">
        <v>45000</v>
      </c>
      <c r="F363" s="1">
        <v>1</v>
      </c>
      <c r="G363" s="4">
        <v>46087</v>
      </c>
      <c r="H363" s="4">
        <v>46094</v>
      </c>
      <c r="I363" s="4">
        <v>46095</v>
      </c>
      <c r="J363" s="4"/>
      <c r="K363" s="1" t="s">
        <v>55</v>
      </c>
      <c r="L363" s="7">
        <f t="shared" si="30"/>
        <v>1</v>
      </c>
      <c r="M363" s="7">
        <f t="shared" si="31"/>
        <v>16</v>
      </c>
      <c r="N363" s="7">
        <f t="shared" si="32"/>
        <v>8</v>
      </c>
      <c r="O363" s="7">
        <f t="shared" si="33"/>
        <v>7</v>
      </c>
      <c r="P363" s="7">
        <f t="shared" si="34"/>
        <v>1</v>
      </c>
      <c r="Q363" s="7" t="str">
        <f>IF(K363="Open",Summary!$B$6-B363,"")</f>
        <v/>
      </c>
      <c r="R363" s="7">
        <f>IF(L363=1,IF(M363&lt;=Summary!$B$5,1,0),"")</f>
        <v>0</v>
      </c>
      <c r="S363" s="1" t="str">
        <f t="shared" si="35"/>
        <v>2026-02</v>
      </c>
    </row>
    <row r="364" spans="1:19" ht="23" customHeight="1">
      <c r="A364" s="1" t="s">
        <v>421</v>
      </c>
      <c r="B364" s="4">
        <v>46085</v>
      </c>
      <c r="C364" s="1" t="s">
        <v>18</v>
      </c>
      <c r="D364" s="1" t="s">
        <v>62</v>
      </c>
      <c r="E364" s="5">
        <v>33000</v>
      </c>
      <c r="F364" s="1">
        <v>0</v>
      </c>
      <c r="G364" s="4">
        <v>46085</v>
      </c>
      <c r="H364" s="4">
        <v>46088</v>
      </c>
      <c r="I364" s="4">
        <v>46089</v>
      </c>
      <c r="J364" s="4"/>
      <c r="K364" s="1" t="s">
        <v>55</v>
      </c>
      <c r="L364" s="7">
        <f t="shared" si="30"/>
        <v>1</v>
      </c>
      <c r="M364" s="7">
        <f t="shared" si="31"/>
        <v>4</v>
      </c>
      <c r="N364" s="7">
        <f t="shared" si="32"/>
        <v>0</v>
      </c>
      <c r="O364" s="7">
        <f t="shared" si="33"/>
        <v>3</v>
      </c>
      <c r="P364" s="7">
        <f t="shared" si="34"/>
        <v>1</v>
      </c>
      <c r="Q364" s="7" t="str">
        <f>IF(K364="Open",Summary!$B$6-B364,"")</f>
        <v/>
      </c>
      <c r="R364" s="7">
        <f>IF(L364=1,IF(M364&lt;=Summary!$B$5,1,0),"")</f>
        <v>1</v>
      </c>
      <c r="S364" s="1" t="str">
        <f t="shared" si="35"/>
        <v>2026-03</v>
      </c>
    </row>
    <row r="365" spans="1:19" ht="23" customHeight="1">
      <c r="A365" s="1" t="s">
        <v>422</v>
      </c>
      <c r="B365" s="4">
        <v>46076</v>
      </c>
      <c r="C365" s="1" t="s">
        <v>18</v>
      </c>
      <c r="D365" s="1" t="s">
        <v>71</v>
      </c>
      <c r="E365" s="5">
        <v>8000</v>
      </c>
      <c r="F365" s="1">
        <v>0</v>
      </c>
      <c r="G365" s="4">
        <v>46076</v>
      </c>
      <c r="H365" s="4">
        <v>46079</v>
      </c>
      <c r="I365" s="4">
        <v>46080</v>
      </c>
      <c r="J365" s="4"/>
      <c r="K365" s="1" t="s">
        <v>55</v>
      </c>
      <c r="L365" s="7">
        <f t="shared" si="30"/>
        <v>1</v>
      </c>
      <c r="M365" s="7">
        <f t="shared" si="31"/>
        <v>4</v>
      </c>
      <c r="N365" s="7">
        <f t="shared" si="32"/>
        <v>0</v>
      </c>
      <c r="O365" s="7">
        <f t="shared" si="33"/>
        <v>3</v>
      </c>
      <c r="P365" s="7">
        <f t="shared" si="34"/>
        <v>1</v>
      </c>
      <c r="Q365" s="7" t="str">
        <f>IF(K365="Open",Summary!$B$6-B365,"")</f>
        <v/>
      </c>
      <c r="R365" s="7">
        <f>IF(L365=1,IF(M365&lt;=Summary!$B$5,1,0),"")</f>
        <v>1</v>
      </c>
      <c r="S365" s="1" t="str">
        <f t="shared" si="35"/>
        <v>2026-02</v>
      </c>
    </row>
    <row r="366" spans="1:19" ht="23" customHeight="1">
      <c r="A366" s="1" t="s">
        <v>423</v>
      </c>
      <c r="B366" s="4">
        <v>46087</v>
      </c>
      <c r="C366" s="1" t="s">
        <v>18</v>
      </c>
      <c r="D366" s="1" t="s">
        <v>65</v>
      </c>
      <c r="E366" s="5">
        <v>7000</v>
      </c>
      <c r="F366" s="1">
        <v>1</v>
      </c>
      <c r="G366" s="4"/>
      <c r="H366" s="4"/>
      <c r="I366" s="4"/>
      <c r="J366" s="4">
        <v>46095</v>
      </c>
      <c r="K366" s="1" t="s">
        <v>86</v>
      </c>
      <c r="L366" s="7">
        <f t="shared" si="30"/>
        <v>0</v>
      </c>
      <c r="M366" s="7" t="str">
        <f t="shared" si="31"/>
        <v/>
      </c>
      <c r="N366" s="7" t="str">
        <f t="shared" si="32"/>
        <v/>
      </c>
      <c r="O366" s="7" t="str">
        <f t="shared" si="33"/>
        <v/>
      </c>
      <c r="P366" s="7" t="str">
        <f t="shared" si="34"/>
        <v/>
      </c>
      <c r="Q366" s="7" t="str">
        <f>IF(K366="Open",Summary!$B$6-B366,"")</f>
        <v/>
      </c>
      <c r="R366" s="7" t="str">
        <f>IF(L366=1,IF(M366&lt;=Summary!$B$5,1,0),"")</f>
        <v/>
      </c>
      <c r="S366" s="1" t="str">
        <f t="shared" si="35"/>
        <v>2026-03</v>
      </c>
    </row>
    <row r="367" spans="1:19" ht="23" customHeight="1">
      <c r="A367" s="1" t="s">
        <v>424</v>
      </c>
      <c r="B367" s="4">
        <v>46043</v>
      </c>
      <c r="C367" s="1" t="s">
        <v>19</v>
      </c>
      <c r="D367" s="1" t="s">
        <v>54</v>
      </c>
      <c r="E367" s="5">
        <v>38000</v>
      </c>
      <c r="F367" s="1">
        <v>0</v>
      </c>
      <c r="G367" s="4">
        <v>46044</v>
      </c>
      <c r="H367" s="4">
        <v>46045</v>
      </c>
      <c r="I367" s="4">
        <v>46048</v>
      </c>
      <c r="J367" s="4"/>
      <c r="K367" s="1" t="s">
        <v>55</v>
      </c>
      <c r="L367" s="7">
        <f t="shared" si="30"/>
        <v>1</v>
      </c>
      <c r="M367" s="7">
        <f t="shared" si="31"/>
        <v>5</v>
      </c>
      <c r="N367" s="7">
        <f t="shared" si="32"/>
        <v>1</v>
      </c>
      <c r="O367" s="7">
        <f t="shared" si="33"/>
        <v>1</v>
      </c>
      <c r="P367" s="7">
        <f t="shared" si="34"/>
        <v>3</v>
      </c>
      <c r="Q367" s="7" t="str">
        <f>IF(K367="Open",Summary!$B$6-B367,"")</f>
        <v/>
      </c>
      <c r="R367" s="7">
        <f>IF(L367=1,IF(M367&lt;=Summary!$B$5,1,0),"")</f>
        <v>1</v>
      </c>
      <c r="S367" s="1" t="str">
        <f t="shared" si="35"/>
        <v>2026-01</v>
      </c>
    </row>
    <row r="368" spans="1:19" ht="23" customHeight="1">
      <c r="A368" s="1" t="s">
        <v>425</v>
      </c>
      <c r="B368" s="4">
        <v>46091</v>
      </c>
      <c r="C368" s="1" t="s">
        <v>18</v>
      </c>
      <c r="D368" s="1" t="s">
        <v>59</v>
      </c>
      <c r="E368" s="5">
        <v>47000</v>
      </c>
      <c r="F368" s="1">
        <v>0</v>
      </c>
      <c r="G368" s="4">
        <v>46092</v>
      </c>
      <c r="H368" s="4">
        <v>46095</v>
      </c>
      <c r="I368" s="4">
        <v>46098</v>
      </c>
      <c r="J368" s="4"/>
      <c r="K368" s="1" t="s">
        <v>55</v>
      </c>
      <c r="L368" s="7">
        <f t="shared" si="30"/>
        <v>1</v>
      </c>
      <c r="M368" s="7">
        <f t="shared" si="31"/>
        <v>7</v>
      </c>
      <c r="N368" s="7">
        <f t="shared" si="32"/>
        <v>1</v>
      </c>
      <c r="O368" s="7">
        <f t="shared" si="33"/>
        <v>3</v>
      </c>
      <c r="P368" s="7">
        <f t="shared" si="34"/>
        <v>3</v>
      </c>
      <c r="Q368" s="7" t="str">
        <f>IF(K368="Open",Summary!$B$6-B368,"")</f>
        <v/>
      </c>
      <c r="R368" s="7">
        <f>IF(L368=1,IF(M368&lt;=Summary!$B$5,1,0),"")</f>
        <v>1</v>
      </c>
      <c r="S368" s="1" t="str">
        <f t="shared" si="35"/>
        <v>2026-03</v>
      </c>
    </row>
    <row r="369" spans="1:19" ht="23" customHeight="1">
      <c r="A369" s="1" t="s">
        <v>426</v>
      </c>
      <c r="B369" s="4">
        <v>46046</v>
      </c>
      <c r="C369" s="1" t="s">
        <v>18</v>
      </c>
      <c r="D369" s="1" t="s">
        <v>59</v>
      </c>
      <c r="E369" s="5">
        <v>39000</v>
      </c>
      <c r="F369" s="1">
        <v>0</v>
      </c>
      <c r="G369" s="4">
        <v>46047</v>
      </c>
      <c r="H369" s="4">
        <v>46053</v>
      </c>
      <c r="I369" s="4">
        <v>46055</v>
      </c>
      <c r="J369" s="4"/>
      <c r="K369" s="1" t="s">
        <v>55</v>
      </c>
      <c r="L369" s="7">
        <f t="shared" si="30"/>
        <v>1</v>
      </c>
      <c r="M369" s="7">
        <f t="shared" si="31"/>
        <v>9</v>
      </c>
      <c r="N369" s="7">
        <f t="shared" si="32"/>
        <v>1</v>
      </c>
      <c r="O369" s="7">
        <f t="shared" si="33"/>
        <v>6</v>
      </c>
      <c r="P369" s="7">
        <f t="shared" si="34"/>
        <v>2</v>
      </c>
      <c r="Q369" s="7" t="str">
        <f>IF(K369="Open",Summary!$B$6-B369,"")</f>
        <v/>
      </c>
      <c r="R369" s="7">
        <f>IF(L369=1,IF(M369&lt;=Summary!$B$5,1,0),"")</f>
        <v>0</v>
      </c>
      <c r="S369" s="1" t="str">
        <f t="shared" si="35"/>
        <v>2026-01</v>
      </c>
    </row>
    <row r="370" spans="1:19" ht="23" customHeight="1">
      <c r="A370" s="1" t="s">
        <v>427</v>
      </c>
      <c r="B370" s="4">
        <v>46045</v>
      </c>
      <c r="C370" s="1" t="s">
        <v>18</v>
      </c>
      <c r="D370" s="1" t="s">
        <v>62</v>
      </c>
      <c r="E370" s="5">
        <v>18000</v>
      </c>
      <c r="F370" s="1">
        <v>0</v>
      </c>
      <c r="G370" s="4">
        <v>46045</v>
      </c>
      <c r="H370" s="4">
        <v>46053</v>
      </c>
      <c r="I370" s="4">
        <v>46055</v>
      </c>
      <c r="J370" s="4"/>
      <c r="K370" s="1" t="s">
        <v>55</v>
      </c>
      <c r="L370" s="7">
        <f t="shared" si="30"/>
        <v>1</v>
      </c>
      <c r="M370" s="7">
        <f t="shared" si="31"/>
        <v>10</v>
      </c>
      <c r="N370" s="7">
        <f t="shared" si="32"/>
        <v>0</v>
      </c>
      <c r="O370" s="7">
        <f t="shared" si="33"/>
        <v>8</v>
      </c>
      <c r="P370" s="7">
        <f t="shared" si="34"/>
        <v>2</v>
      </c>
      <c r="Q370" s="7" t="str">
        <f>IF(K370="Open",Summary!$B$6-B370,"")</f>
        <v/>
      </c>
      <c r="R370" s="7">
        <f>IF(L370=1,IF(M370&lt;=Summary!$B$5,1,0),"")</f>
        <v>0</v>
      </c>
      <c r="S370" s="1" t="str">
        <f t="shared" si="35"/>
        <v>2026-01</v>
      </c>
    </row>
    <row r="371" spans="1:19" ht="23" customHeight="1">
      <c r="A371" s="1" t="s">
        <v>428</v>
      </c>
      <c r="B371" s="4">
        <v>46027</v>
      </c>
      <c r="C371" s="1" t="s">
        <v>19</v>
      </c>
      <c r="D371" s="1" t="s">
        <v>54</v>
      </c>
      <c r="E371" s="5">
        <v>15000</v>
      </c>
      <c r="F371" s="1">
        <v>1</v>
      </c>
      <c r="G371" s="4">
        <v>46030</v>
      </c>
      <c r="H371" s="4">
        <v>46032</v>
      </c>
      <c r="I371" s="4">
        <v>46034</v>
      </c>
      <c r="J371" s="4"/>
      <c r="K371" s="1" t="s">
        <v>55</v>
      </c>
      <c r="L371" s="7">
        <f t="shared" si="30"/>
        <v>1</v>
      </c>
      <c r="M371" s="7">
        <f t="shared" si="31"/>
        <v>7</v>
      </c>
      <c r="N371" s="7">
        <f t="shared" si="32"/>
        <v>3</v>
      </c>
      <c r="O371" s="7">
        <f t="shared" si="33"/>
        <v>2</v>
      </c>
      <c r="P371" s="7">
        <f t="shared" si="34"/>
        <v>2</v>
      </c>
      <c r="Q371" s="7" t="str">
        <f>IF(K371="Open",Summary!$B$6-B371,"")</f>
        <v/>
      </c>
      <c r="R371" s="7">
        <f>IF(L371=1,IF(M371&lt;=Summary!$B$5,1,0),"")</f>
        <v>1</v>
      </c>
      <c r="S371" s="1" t="str">
        <f t="shared" si="35"/>
        <v>2026-01</v>
      </c>
    </row>
    <row r="372" spans="1:19" ht="23" customHeight="1">
      <c r="A372" s="1" t="s">
        <v>429</v>
      </c>
      <c r="B372" s="4">
        <v>46069</v>
      </c>
      <c r="C372" s="1" t="s">
        <v>19</v>
      </c>
      <c r="D372" s="1" t="s">
        <v>54</v>
      </c>
      <c r="E372" s="5">
        <v>9000</v>
      </c>
      <c r="F372" s="1">
        <v>0</v>
      </c>
      <c r="G372" s="4">
        <v>46071</v>
      </c>
      <c r="H372" s="4">
        <v>46075</v>
      </c>
      <c r="I372" s="4">
        <v>46076</v>
      </c>
      <c r="J372" s="4"/>
      <c r="K372" s="1" t="s">
        <v>55</v>
      </c>
      <c r="L372" s="7">
        <f t="shared" si="30"/>
        <v>1</v>
      </c>
      <c r="M372" s="7">
        <f t="shared" si="31"/>
        <v>7</v>
      </c>
      <c r="N372" s="7">
        <f t="shared" si="32"/>
        <v>2</v>
      </c>
      <c r="O372" s="7">
        <f t="shared" si="33"/>
        <v>4</v>
      </c>
      <c r="P372" s="7">
        <f t="shared" si="34"/>
        <v>1</v>
      </c>
      <c r="Q372" s="7" t="str">
        <f>IF(K372="Open",Summary!$B$6-B372,"")</f>
        <v/>
      </c>
      <c r="R372" s="7">
        <f>IF(L372=1,IF(M372&lt;=Summary!$B$5,1,0),"")</f>
        <v>1</v>
      </c>
      <c r="S372" s="1" t="str">
        <f t="shared" si="35"/>
        <v>2026-02</v>
      </c>
    </row>
    <row r="373" spans="1:19" ht="23" customHeight="1">
      <c r="A373" s="1" t="s">
        <v>430</v>
      </c>
      <c r="B373" s="4">
        <v>46059</v>
      </c>
      <c r="C373" s="1" t="s">
        <v>19</v>
      </c>
      <c r="D373" s="1" t="s">
        <v>54</v>
      </c>
      <c r="E373" s="5">
        <v>6000</v>
      </c>
      <c r="F373" s="1">
        <v>0</v>
      </c>
      <c r="G373" s="4">
        <v>46060</v>
      </c>
      <c r="H373" s="4">
        <v>46063</v>
      </c>
      <c r="I373" s="4">
        <v>46066</v>
      </c>
      <c r="J373" s="4"/>
      <c r="K373" s="1" t="s">
        <v>55</v>
      </c>
      <c r="L373" s="7">
        <f t="shared" si="30"/>
        <v>1</v>
      </c>
      <c r="M373" s="7">
        <f t="shared" si="31"/>
        <v>7</v>
      </c>
      <c r="N373" s="7">
        <f t="shared" si="32"/>
        <v>1</v>
      </c>
      <c r="O373" s="7">
        <f t="shared" si="33"/>
        <v>3</v>
      </c>
      <c r="P373" s="7">
        <f t="shared" si="34"/>
        <v>3</v>
      </c>
      <c r="Q373" s="7" t="str">
        <f>IF(K373="Open",Summary!$B$6-B373,"")</f>
        <v/>
      </c>
      <c r="R373" s="7">
        <f>IF(L373=1,IF(M373&lt;=Summary!$B$5,1,0),"")</f>
        <v>1</v>
      </c>
      <c r="S373" s="1" t="str">
        <f t="shared" si="35"/>
        <v>2026-02</v>
      </c>
    </row>
    <row r="374" spans="1:19" ht="23" customHeight="1">
      <c r="A374" s="1" t="s">
        <v>431</v>
      </c>
      <c r="B374" s="4">
        <v>46037</v>
      </c>
      <c r="C374" s="1" t="s">
        <v>19</v>
      </c>
      <c r="D374" s="1" t="s">
        <v>54</v>
      </c>
      <c r="E374" s="5">
        <v>7000</v>
      </c>
      <c r="F374" s="1">
        <v>0</v>
      </c>
      <c r="G374" s="4">
        <v>46037</v>
      </c>
      <c r="H374" s="4">
        <v>46043</v>
      </c>
      <c r="I374" s="4">
        <v>46046</v>
      </c>
      <c r="J374" s="4"/>
      <c r="K374" s="1" t="s">
        <v>55</v>
      </c>
      <c r="L374" s="7">
        <f t="shared" si="30"/>
        <v>1</v>
      </c>
      <c r="M374" s="7">
        <f t="shared" si="31"/>
        <v>9</v>
      </c>
      <c r="N374" s="7">
        <f t="shared" si="32"/>
        <v>0</v>
      </c>
      <c r="O374" s="7">
        <f t="shared" si="33"/>
        <v>6</v>
      </c>
      <c r="P374" s="7">
        <f t="shared" si="34"/>
        <v>3</v>
      </c>
      <c r="Q374" s="7" t="str">
        <f>IF(K374="Open",Summary!$B$6-B374,"")</f>
        <v/>
      </c>
      <c r="R374" s="7">
        <f>IF(L374=1,IF(M374&lt;=Summary!$B$5,1,0),"")</f>
        <v>0</v>
      </c>
      <c r="S374" s="1" t="str">
        <f t="shared" si="35"/>
        <v>2026-01</v>
      </c>
    </row>
    <row r="375" spans="1:19" ht="23" customHeight="1">
      <c r="A375" s="1" t="s">
        <v>432</v>
      </c>
      <c r="B375" s="4">
        <v>46108</v>
      </c>
      <c r="C375" s="1" t="s">
        <v>19</v>
      </c>
      <c r="D375" s="1" t="s">
        <v>54</v>
      </c>
      <c r="E375" s="5">
        <v>6000</v>
      </c>
      <c r="F375" s="1">
        <v>0</v>
      </c>
      <c r="G375" s="4">
        <v>46110</v>
      </c>
      <c r="H375" s="4"/>
      <c r="I375" s="4"/>
      <c r="J375" s="4"/>
      <c r="K375" s="1" t="s">
        <v>69</v>
      </c>
      <c r="L375" s="7">
        <f t="shared" si="30"/>
        <v>0</v>
      </c>
      <c r="M375" s="7" t="str">
        <f t="shared" si="31"/>
        <v/>
      </c>
      <c r="N375" s="7" t="str">
        <f t="shared" si="32"/>
        <v/>
      </c>
      <c r="O375" s="7" t="str">
        <f t="shared" si="33"/>
        <v/>
      </c>
      <c r="P375" s="7" t="str">
        <f t="shared" si="34"/>
        <v/>
      </c>
      <c r="Q375" s="7">
        <f>IF(K375="Open",Summary!$B$6-B375,"")</f>
        <v>4</v>
      </c>
      <c r="R375" s="7" t="str">
        <f>IF(L375=1,IF(M375&lt;=Summary!$B$5,1,0),"")</f>
        <v/>
      </c>
      <c r="S375" s="1" t="str">
        <f t="shared" si="35"/>
        <v>2026-03</v>
      </c>
    </row>
    <row r="376" spans="1:19" ht="23" customHeight="1">
      <c r="A376" s="1" t="s">
        <v>433</v>
      </c>
      <c r="B376" s="4">
        <v>46048</v>
      </c>
      <c r="C376" s="1" t="s">
        <v>18</v>
      </c>
      <c r="D376" s="1" t="s">
        <v>65</v>
      </c>
      <c r="E376" s="5">
        <v>30000</v>
      </c>
      <c r="F376" s="1">
        <v>0</v>
      </c>
      <c r="G376" s="4">
        <v>46050</v>
      </c>
      <c r="H376" s="4">
        <v>46054</v>
      </c>
      <c r="I376" s="4">
        <v>46056</v>
      </c>
      <c r="J376" s="4"/>
      <c r="K376" s="1" t="s">
        <v>55</v>
      </c>
      <c r="L376" s="7">
        <f t="shared" si="30"/>
        <v>1</v>
      </c>
      <c r="M376" s="7">
        <f t="shared" si="31"/>
        <v>8</v>
      </c>
      <c r="N376" s="7">
        <f t="shared" si="32"/>
        <v>2</v>
      </c>
      <c r="O376" s="7">
        <f t="shared" si="33"/>
        <v>4</v>
      </c>
      <c r="P376" s="7">
        <f t="shared" si="34"/>
        <v>2</v>
      </c>
      <c r="Q376" s="7" t="str">
        <f>IF(K376="Open",Summary!$B$6-B376,"")</f>
        <v/>
      </c>
      <c r="R376" s="7">
        <f>IF(L376=1,IF(M376&lt;=Summary!$B$5,1,0),"")</f>
        <v>0</v>
      </c>
      <c r="S376" s="1" t="str">
        <f t="shared" si="35"/>
        <v>2026-01</v>
      </c>
    </row>
    <row r="377" spans="1:19" ht="23" customHeight="1">
      <c r="A377" s="1" t="s">
        <v>434</v>
      </c>
      <c r="B377" s="4">
        <v>46052</v>
      </c>
      <c r="C377" s="1" t="s">
        <v>19</v>
      </c>
      <c r="D377" s="1" t="s">
        <v>54</v>
      </c>
      <c r="E377" s="5">
        <v>27000</v>
      </c>
      <c r="F377" s="1">
        <v>0</v>
      </c>
      <c r="G377" s="4">
        <v>46052</v>
      </c>
      <c r="H377" s="4">
        <v>46054</v>
      </c>
      <c r="I377" s="4">
        <v>46055</v>
      </c>
      <c r="J377" s="4"/>
      <c r="K377" s="1" t="s">
        <v>55</v>
      </c>
      <c r="L377" s="7">
        <f t="shared" si="30"/>
        <v>1</v>
      </c>
      <c r="M377" s="7">
        <f t="shared" si="31"/>
        <v>3</v>
      </c>
      <c r="N377" s="7">
        <f t="shared" si="32"/>
        <v>0</v>
      </c>
      <c r="O377" s="7">
        <f t="shared" si="33"/>
        <v>2</v>
      </c>
      <c r="P377" s="7">
        <f t="shared" si="34"/>
        <v>1</v>
      </c>
      <c r="Q377" s="7" t="str">
        <f>IF(K377="Open",Summary!$B$6-B377,"")</f>
        <v/>
      </c>
      <c r="R377" s="7">
        <f>IF(L377=1,IF(M377&lt;=Summary!$B$5,1,0),"")</f>
        <v>1</v>
      </c>
      <c r="S377" s="1" t="str">
        <f t="shared" si="35"/>
        <v>2026-01</v>
      </c>
    </row>
    <row r="378" spans="1:19" ht="23" customHeight="1">
      <c r="A378" s="1" t="s">
        <v>435</v>
      </c>
      <c r="B378" s="4">
        <v>46036</v>
      </c>
      <c r="C378" s="1" t="s">
        <v>18</v>
      </c>
      <c r="D378" s="1" t="s">
        <v>65</v>
      </c>
      <c r="E378" s="5">
        <v>44000</v>
      </c>
      <c r="F378" s="1">
        <v>1</v>
      </c>
      <c r="G378" s="4">
        <v>46044</v>
      </c>
      <c r="H378" s="4">
        <v>46047</v>
      </c>
      <c r="I378" s="4">
        <v>46049</v>
      </c>
      <c r="J378" s="4"/>
      <c r="K378" s="1" t="s">
        <v>55</v>
      </c>
      <c r="L378" s="7">
        <f t="shared" si="30"/>
        <v>1</v>
      </c>
      <c r="M378" s="7">
        <f t="shared" si="31"/>
        <v>13</v>
      </c>
      <c r="N378" s="7">
        <f t="shared" si="32"/>
        <v>8</v>
      </c>
      <c r="O378" s="7">
        <f t="shared" si="33"/>
        <v>3</v>
      </c>
      <c r="P378" s="7">
        <f t="shared" si="34"/>
        <v>2</v>
      </c>
      <c r="Q378" s="7" t="str">
        <f>IF(K378="Open",Summary!$B$6-B378,"")</f>
        <v/>
      </c>
      <c r="R378" s="7">
        <f>IF(L378=1,IF(M378&lt;=Summary!$B$5,1,0),"")</f>
        <v>0</v>
      </c>
      <c r="S378" s="1" t="str">
        <f t="shared" si="35"/>
        <v>2026-01</v>
      </c>
    </row>
    <row r="379" spans="1:19" ht="23" customHeight="1">
      <c r="A379" s="1" t="s">
        <v>436</v>
      </c>
      <c r="B379" s="4">
        <v>46067</v>
      </c>
      <c r="C379" s="1" t="s">
        <v>19</v>
      </c>
      <c r="D379" s="1" t="s">
        <v>54</v>
      </c>
      <c r="E379" s="5">
        <v>20000</v>
      </c>
      <c r="F379" s="1">
        <v>0</v>
      </c>
      <c r="G379" s="4">
        <v>46068</v>
      </c>
      <c r="H379" s="4">
        <v>46070</v>
      </c>
      <c r="I379" s="4">
        <v>46071</v>
      </c>
      <c r="J379" s="4"/>
      <c r="K379" s="1" t="s">
        <v>55</v>
      </c>
      <c r="L379" s="7">
        <f t="shared" si="30"/>
        <v>1</v>
      </c>
      <c r="M379" s="7">
        <f t="shared" si="31"/>
        <v>4</v>
      </c>
      <c r="N379" s="7">
        <f t="shared" si="32"/>
        <v>1</v>
      </c>
      <c r="O379" s="7">
        <f t="shared" si="33"/>
        <v>2</v>
      </c>
      <c r="P379" s="7">
        <f t="shared" si="34"/>
        <v>1</v>
      </c>
      <c r="Q379" s="7" t="str">
        <f>IF(K379="Open",Summary!$B$6-B379,"")</f>
        <v/>
      </c>
      <c r="R379" s="7">
        <f>IF(L379=1,IF(M379&lt;=Summary!$B$5,1,0),"")</f>
        <v>1</v>
      </c>
      <c r="S379" s="1" t="str">
        <f t="shared" si="35"/>
        <v>2026-02</v>
      </c>
    </row>
    <row r="380" spans="1:19" ht="23" customHeight="1">
      <c r="A380" s="1" t="s">
        <v>437</v>
      </c>
      <c r="B380" s="4">
        <v>46034</v>
      </c>
      <c r="C380" s="1" t="s">
        <v>19</v>
      </c>
      <c r="D380" s="1" t="s">
        <v>54</v>
      </c>
      <c r="E380" s="5">
        <v>38000</v>
      </c>
      <c r="F380" s="1">
        <v>0</v>
      </c>
      <c r="G380" s="4">
        <v>46035</v>
      </c>
      <c r="H380" s="4">
        <v>46039</v>
      </c>
      <c r="I380" s="4">
        <v>46042</v>
      </c>
      <c r="J380" s="4"/>
      <c r="K380" s="1" t="s">
        <v>63</v>
      </c>
      <c r="L380" s="7">
        <f t="shared" si="30"/>
        <v>1</v>
      </c>
      <c r="M380" s="7">
        <f t="shared" si="31"/>
        <v>8</v>
      </c>
      <c r="N380" s="7">
        <f t="shared" si="32"/>
        <v>1</v>
      </c>
      <c r="O380" s="7">
        <f t="shared" si="33"/>
        <v>4</v>
      </c>
      <c r="P380" s="7">
        <f t="shared" si="34"/>
        <v>3</v>
      </c>
      <c r="Q380" s="7" t="str">
        <f>IF(K380="Open",Summary!$B$6-B380,"")</f>
        <v/>
      </c>
      <c r="R380" s="7">
        <f>IF(L380=1,IF(M380&lt;=Summary!$B$5,1,0),"")</f>
        <v>0</v>
      </c>
      <c r="S380" s="1" t="str">
        <f t="shared" si="35"/>
        <v>2026-01</v>
      </c>
    </row>
    <row r="381" spans="1:19" ht="23" customHeight="1">
      <c r="A381" s="1" t="s">
        <v>438</v>
      </c>
      <c r="B381" s="4">
        <v>46112</v>
      </c>
      <c r="C381" s="1" t="s">
        <v>19</v>
      </c>
      <c r="D381" s="1" t="s">
        <v>54</v>
      </c>
      <c r="E381" s="5">
        <v>22000</v>
      </c>
      <c r="F381" s="1">
        <v>0</v>
      </c>
      <c r="G381" s="4">
        <v>46112</v>
      </c>
      <c r="H381" s="4"/>
      <c r="I381" s="4"/>
      <c r="J381" s="4"/>
      <c r="K381" s="1" t="s">
        <v>69</v>
      </c>
      <c r="L381" s="7">
        <f t="shared" si="30"/>
        <v>0</v>
      </c>
      <c r="M381" s="7" t="str">
        <f t="shared" si="31"/>
        <v/>
      </c>
      <c r="N381" s="7" t="str">
        <f t="shared" si="32"/>
        <v/>
      </c>
      <c r="O381" s="7" t="str">
        <f t="shared" si="33"/>
        <v/>
      </c>
      <c r="P381" s="7" t="str">
        <f t="shared" si="34"/>
        <v/>
      </c>
      <c r="Q381" s="7">
        <f>IF(K381="Open",Summary!$B$6-B381,"")</f>
        <v>0</v>
      </c>
      <c r="R381" s="7" t="str">
        <f>IF(L381=1,IF(M381&lt;=Summary!$B$5,1,0),"")</f>
        <v/>
      </c>
      <c r="S381" s="1" t="str">
        <f t="shared" si="35"/>
        <v>2026-03</v>
      </c>
    </row>
    <row r="382" spans="1:19" ht="23" customHeight="1">
      <c r="A382" s="1" t="s">
        <v>439</v>
      </c>
      <c r="B382" s="4">
        <v>46045</v>
      </c>
      <c r="C382" s="1" t="s">
        <v>19</v>
      </c>
      <c r="D382" s="1" t="s">
        <v>54</v>
      </c>
      <c r="E382" s="5">
        <v>33000</v>
      </c>
      <c r="F382" s="1">
        <v>0</v>
      </c>
      <c r="G382" s="4">
        <v>46046</v>
      </c>
      <c r="H382" s="4">
        <v>46048</v>
      </c>
      <c r="I382" s="4">
        <v>46051</v>
      </c>
      <c r="J382" s="4"/>
      <c r="K382" s="1" t="s">
        <v>55</v>
      </c>
      <c r="L382" s="7">
        <f t="shared" si="30"/>
        <v>1</v>
      </c>
      <c r="M382" s="7">
        <f t="shared" si="31"/>
        <v>6</v>
      </c>
      <c r="N382" s="7">
        <f t="shared" si="32"/>
        <v>1</v>
      </c>
      <c r="O382" s="7">
        <f t="shared" si="33"/>
        <v>2</v>
      </c>
      <c r="P382" s="7">
        <f t="shared" si="34"/>
        <v>3</v>
      </c>
      <c r="Q382" s="7" t="str">
        <f>IF(K382="Open",Summary!$B$6-B382,"")</f>
        <v/>
      </c>
      <c r="R382" s="7">
        <f>IF(L382=1,IF(M382&lt;=Summary!$B$5,1,0),"")</f>
        <v>1</v>
      </c>
      <c r="S382" s="1" t="str">
        <f t="shared" si="35"/>
        <v>2026-01</v>
      </c>
    </row>
    <row r="383" spans="1:19" ht="23" customHeight="1">
      <c r="A383" s="1" t="s">
        <v>440</v>
      </c>
      <c r="B383" s="4">
        <v>46067</v>
      </c>
      <c r="C383" s="1" t="s">
        <v>18</v>
      </c>
      <c r="D383" s="1" t="s">
        <v>65</v>
      </c>
      <c r="E383" s="5">
        <v>50000</v>
      </c>
      <c r="F383" s="1">
        <v>1</v>
      </c>
      <c r="G383" s="4">
        <v>46077</v>
      </c>
      <c r="H383" s="4">
        <v>46079</v>
      </c>
      <c r="I383" s="4">
        <v>46081</v>
      </c>
      <c r="J383" s="4"/>
      <c r="K383" s="1" t="s">
        <v>63</v>
      </c>
      <c r="L383" s="7">
        <f t="shared" si="30"/>
        <v>1</v>
      </c>
      <c r="M383" s="7">
        <f t="shared" si="31"/>
        <v>14</v>
      </c>
      <c r="N383" s="7">
        <f t="shared" si="32"/>
        <v>10</v>
      </c>
      <c r="O383" s="7">
        <f t="shared" si="33"/>
        <v>2</v>
      </c>
      <c r="P383" s="7">
        <f t="shared" si="34"/>
        <v>2</v>
      </c>
      <c r="Q383" s="7" t="str">
        <f>IF(K383="Open",Summary!$B$6-B383,"")</f>
        <v/>
      </c>
      <c r="R383" s="7">
        <f>IF(L383=1,IF(M383&lt;=Summary!$B$5,1,0),"")</f>
        <v>0</v>
      </c>
      <c r="S383" s="1" t="str">
        <f t="shared" si="35"/>
        <v>2026-02</v>
      </c>
    </row>
    <row r="384" spans="1:19" ht="23" customHeight="1">
      <c r="A384" s="1" t="s">
        <v>441</v>
      </c>
      <c r="B384" s="4">
        <v>46073</v>
      </c>
      <c r="C384" s="1" t="s">
        <v>18</v>
      </c>
      <c r="D384" s="1" t="s">
        <v>65</v>
      </c>
      <c r="E384" s="5">
        <v>36000</v>
      </c>
      <c r="F384" s="1">
        <v>0</v>
      </c>
      <c r="G384" s="4">
        <v>46073</v>
      </c>
      <c r="H384" s="4">
        <v>46076</v>
      </c>
      <c r="I384" s="4">
        <v>46078</v>
      </c>
      <c r="J384" s="4"/>
      <c r="K384" s="1" t="s">
        <v>63</v>
      </c>
      <c r="L384" s="7">
        <f t="shared" si="30"/>
        <v>1</v>
      </c>
      <c r="M384" s="7">
        <f t="shared" si="31"/>
        <v>5</v>
      </c>
      <c r="N384" s="7">
        <f t="shared" si="32"/>
        <v>0</v>
      </c>
      <c r="O384" s="7">
        <f t="shared" si="33"/>
        <v>3</v>
      </c>
      <c r="P384" s="7">
        <f t="shared" si="34"/>
        <v>2</v>
      </c>
      <c r="Q384" s="7" t="str">
        <f>IF(K384="Open",Summary!$B$6-B384,"")</f>
        <v/>
      </c>
      <c r="R384" s="7">
        <f>IF(L384=1,IF(M384&lt;=Summary!$B$5,1,0),"")</f>
        <v>1</v>
      </c>
      <c r="S384" s="1" t="str">
        <f t="shared" si="35"/>
        <v>2026-02</v>
      </c>
    </row>
    <row r="385" spans="1:19" ht="23" customHeight="1">
      <c r="A385" s="1" t="s">
        <v>442</v>
      </c>
      <c r="B385" s="4">
        <v>46111</v>
      </c>
      <c r="C385" s="1" t="s">
        <v>19</v>
      </c>
      <c r="D385" s="1" t="s">
        <v>54</v>
      </c>
      <c r="E385" s="5">
        <v>24000</v>
      </c>
      <c r="F385" s="1">
        <v>0</v>
      </c>
      <c r="G385" s="4"/>
      <c r="H385" s="4"/>
      <c r="I385" s="4"/>
      <c r="J385" s="4"/>
      <c r="K385" s="1" t="s">
        <v>69</v>
      </c>
      <c r="L385" s="7">
        <f t="shared" si="30"/>
        <v>0</v>
      </c>
      <c r="M385" s="7" t="str">
        <f t="shared" si="31"/>
        <v/>
      </c>
      <c r="N385" s="7" t="str">
        <f t="shared" si="32"/>
        <v/>
      </c>
      <c r="O385" s="7" t="str">
        <f t="shared" si="33"/>
        <v/>
      </c>
      <c r="P385" s="7" t="str">
        <f t="shared" si="34"/>
        <v/>
      </c>
      <c r="Q385" s="7">
        <f>IF(K385="Open",Summary!$B$6-B385,"")</f>
        <v>1</v>
      </c>
      <c r="R385" s="7" t="str">
        <f>IF(L385=1,IF(M385&lt;=Summary!$B$5,1,0),"")</f>
        <v/>
      </c>
      <c r="S385" s="1" t="str">
        <f t="shared" si="35"/>
        <v>2026-03</v>
      </c>
    </row>
    <row r="386" spans="1:19" ht="23" customHeight="1">
      <c r="A386" s="1" t="s">
        <v>443</v>
      </c>
      <c r="B386" s="4">
        <v>46035</v>
      </c>
      <c r="C386" s="1" t="s">
        <v>18</v>
      </c>
      <c r="D386" s="1" t="s">
        <v>59</v>
      </c>
      <c r="E386" s="5">
        <v>29000</v>
      </c>
      <c r="F386" s="1">
        <v>0</v>
      </c>
      <c r="G386" s="4">
        <v>46035</v>
      </c>
      <c r="H386" s="4">
        <v>46041</v>
      </c>
      <c r="I386" s="4">
        <v>46043</v>
      </c>
      <c r="J386" s="4"/>
      <c r="K386" s="1" t="s">
        <v>63</v>
      </c>
      <c r="L386" s="7">
        <f t="shared" si="30"/>
        <v>1</v>
      </c>
      <c r="M386" s="7">
        <f t="shared" si="31"/>
        <v>8</v>
      </c>
      <c r="N386" s="7">
        <f t="shared" si="32"/>
        <v>0</v>
      </c>
      <c r="O386" s="7">
        <f t="shared" si="33"/>
        <v>6</v>
      </c>
      <c r="P386" s="7">
        <f t="shared" si="34"/>
        <v>2</v>
      </c>
      <c r="Q386" s="7" t="str">
        <f>IF(K386="Open",Summary!$B$6-B386,"")</f>
        <v/>
      </c>
      <c r="R386" s="7">
        <f>IF(L386=1,IF(M386&lt;=Summary!$B$5,1,0),"")</f>
        <v>0</v>
      </c>
      <c r="S386" s="1" t="str">
        <f t="shared" si="35"/>
        <v>2026-01</v>
      </c>
    </row>
    <row r="387" spans="1:19" ht="23" customHeight="1">
      <c r="A387" s="1" t="s">
        <v>444</v>
      </c>
      <c r="B387" s="4">
        <v>46084</v>
      </c>
      <c r="C387" s="1" t="s">
        <v>18</v>
      </c>
      <c r="D387" s="1" t="s">
        <v>59</v>
      </c>
      <c r="E387" s="5">
        <v>7000</v>
      </c>
      <c r="F387" s="1">
        <v>1</v>
      </c>
      <c r="G387" s="4">
        <v>46087</v>
      </c>
      <c r="H387" s="4">
        <v>46092</v>
      </c>
      <c r="I387" s="4">
        <v>46093</v>
      </c>
      <c r="J387" s="4"/>
      <c r="K387" s="1" t="s">
        <v>55</v>
      </c>
      <c r="L387" s="7">
        <f t="shared" si="30"/>
        <v>1</v>
      </c>
      <c r="M387" s="7">
        <f t="shared" si="31"/>
        <v>9</v>
      </c>
      <c r="N387" s="7">
        <f t="shared" si="32"/>
        <v>3</v>
      </c>
      <c r="O387" s="7">
        <f t="shared" si="33"/>
        <v>5</v>
      </c>
      <c r="P387" s="7">
        <f t="shared" si="34"/>
        <v>1</v>
      </c>
      <c r="Q387" s="7" t="str">
        <f>IF(K387="Open",Summary!$B$6-B387,"")</f>
        <v/>
      </c>
      <c r="R387" s="7">
        <f>IF(L387=1,IF(M387&lt;=Summary!$B$5,1,0),"")</f>
        <v>0</v>
      </c>
      <c r="S387" s="1" t="str">
        <f t="shared" si="35"/>
        <v>2026-03</v>
      </c>
    </row>
    <row r="388" spans="1:19" ht="23" customHeight="1">
      <c r="A388" s="1" t="s">
        <v>445</v>
      </c>
      <c r="B388" s="4">
        <v>46087</v>
      </c>
      <c r="C388" s="1" t="s">
        <v>18</v>
      </c>
      <c r="D388" s="1" t="s">
        <v>65</v>
      </c>
      <c r="E388" s="5">
        <v>28000</v>
      </c>
      <c r="F388" s="1">
        <v>1</v>
      </c>
      <c r="G388" s="4">
        <v>46095</v>
      </c>
      <c r="H388" s="4">
        <v>46101</v>
      </c>
      <c r="I388" s="4">
        <v>46104</v>
      </c>
      <c r="J388" s="4"/>
      <c r="K388" s="1" t="s">
        <v>63</v>
      </c>
      <c r="L388" s="7">
        <f t="shared" si="30"/>
        <v>1</v>
      </c>
      <c r="M388" s="7">
        <f t="shared" si="31"/>
        <v>17</v>
      </c>
      <c r="N388" s="7">
        <f t="shared" si="32"/>
        <v>8</v>
      </c>
      <c r="O388" s="7">
        <f t="shared" si="33"/>
        <v>6</v>
      </c>
      <c r="P388" s="7">
        <f t="shared" si="34"/>
        <v>3</v>
      </c>
      <c r="Q388" s="7" t="str">
        <f>IF(K388="Open",Summary!$B$6-B388,"")</f>
        <v/>
      </c>
      <c r="R388" s="7">
        <f>IF(L388=1,IF(M388&lt;=Summary!$B$5,1,0),"")</f>
        <v>0</v>
      </c>
      <c r="S388" s="1" t="str">
        <f t="shared" si="35"/>
        <v>2026-03</v>
      </c>
    </row>
    <row r="389" spans="1:19" ht="23" customHeight="1">
      <c r="A389" s="1" t="s">
        <v>446</v>
      </c>
      <c r="B389" s="4">
        <v>46097</v>
      </c>
      <c r="C389" s="1" t="s">
        <v>18</v>
      </c>
      <c r="D389" s="1" t="s">
        <v>65</v>
      </c>
      <c r="E389" s="5">
        <v>16000</v>
      </c>
      <c r="F389" s="1">
        <v>1</v>
      </c>
      <c r="G389" s="4">
        <v>46103</v>
      </c>
      <c r="H389" s="4">
        <v>46109</v>
      </c>
      <c r="I389" s="4">
        <v>46110</v>
      </c>
      <c r="J389" s="4"/>
      <c r="K389" s="1" t="s">
        <v>63</v>
      </c>
      <c r="L389" s="7">
        <f t="shared" ref="L389:L452" si="36">IF(OR(K389="Approved",K389="Declined"),1,0)</f>
        <v>1</v>
      </c>
      <c r="M389" s="7">
        <f t="shared" ref="M389:M452" si="37">IF(L389=1,I389-B389,"")</f>
        <v>13</v>
      </c>
      <c r="N389" s="7">
        <f t="shared" ref="N389:N452" si="38">IF(L389=1,G389-B389,"")</f>
        <v>6</v>
      </c>
      <c r="O389" s="7">
        <f t="shared" ref="O389:O452" si="39">IF(L389=1,H389-G389,"")</f>
        <v>6</v>
      </c>
      <c r="P389" s="7">
        <f t="shared" ref="P389:P452" si="40">IF(L389=1,I389-H389,"")</f>
        <v>1</v>
      </c>
      <c r="Q389" s="7" t="str">
        <f>IF(K389="Open",Summary!$B$6-B389,"")</f>
        <v/>
      </c>
      <c r="R389" s="7">
        <f>IF(L389=1,IF(M389&lt;=Summary!$B$5,1,0),"")</f>
        <v>0</v>
      </c>
      <c r="S389" s="1" t="str">
        <f t="shared" ref="S389:S452" si="41">TEXT(B389,"yyyy-mm")</f>
        <v>2026-03</v>
      </c>
    </row>
    <row r="390" spans="1:19" ht="23" customHeight="1">
      <c r="A390" s="1" t="s">
        <v>447</v>
      </c>
      <c r="B390" s="4">
        <v>46091</v>
      </c>
      <c r="C390" s="1" t="s">
        <v>19</v>
      </c>
      <c r="D390" s="1" t="s">
        <v>54</v>
      </c>
      <c r="E390" s="5">
        <v>44000</v>
      </c>
      <c r="F390" s="1">
        <v>1</v>
      </c>
      <c r="G390" s="4"/>
      <c r="H390" s="4"/>
      <c r="I390" s="4"/>
      <c r="J390" s="4">
        <v>46094</v>
      </c>
      <c r="K390" s="1" t="s">
        <v>86</v>
      </c>
      <c r="L390" s="7">
        <f t="shared" si="36"/>
        <v>0</v>
      </c>
      <c r="M390" s="7" t="str">
        <f t="shared" si="37"/>
        <v/>
      </c>
      <c r="N390" s="7" t="str">
        <f t="shared" si="38"/>
        <v/>
      </c>
      <c r="O390" s="7" t="str">
        <f t="shared" si="39"/>
        <v/>
      </c>
      <c r="P390" s="7" t="str">
        <f t="shared" si="40"/>
        <v/>
      </c>
      <c r="Q390" s="7" t="str">
        <f>IF(K390="Open",Summary!$B$6-B390,"")</f>
        <v/>
      </c>
      <c r="R390" s="7" t="str">
        <f>IF(L390=1,IF(M390&lt;=Summary!$B$5,1,0),"")</f>
        <v/>
      </c>
      <c r="S390" s="1" t="str">
        <f t="shared" si="41"/>
        <v>2026-03</v>
      </c>
    </row>
    <row r="391" spans="1:19" ht="23" customHeight="1">
      <c r="A391" s="1" t="s">
        <v>448</v>
      </c>
      <c r="B391" s="4">
        <v>46081</v>
      </c>
      <c r="C391" s="1" t="s">
        <v>18</v>
      </c>
      <c r="D391" s="1" t="s">
        <v>59</v>
      </c>
      <c r="E391" s="5">
        <v>39000</v>
      </c>
      <c r="F391" s="1">
        <v>0</v>
      </c>
      <c r="G391" s="4">
        <v>46082</v>
      </c>
      <c r="H391" s="4">
        <v>46084</v>
      </c>
      <c r="I391" s="4">
        <v>46086</v>
      </c>
      <c r="J391" s="4"/>
      <c r="K391" s="1" t="s">
        <v>55</v>
      </c>
      <c r="L391" s="7">
        <f t="shared" si="36"/>
        <v>1</v>
      </c>
      <c r="M391" s="7">
        <f t="shared" si="37"/>
        <v>5</v>
      </c>
      <c r="N391" s="7">
        <f t="shared" si="38"/>
        <v>1</v>
      </c>
      <c r="O391" s="7">
        <f t="shared" si="39"/>
        <v>2</v>
      </c>
      <c r="P391" s="7">
        <f t="shared" si="40"/>
        <v>2</v>
      </c>
      <c r="Q391" s="7" t="str">
        <f>IF(K391="Open",Summary!$B$6-B391,"")</f>
        <v/>
      </c>
      <c r="R391" s="7">
        <f>IF(L391=1,IF(M391&lt;=Summary!$B$5,1,0),"")</f>
        <v>1</v>
      </c>
      <c r="S391" s="1" t="str">
        <f t="shared" si="41"/>
        <v>2026-02</v>
      </c>
    </row>
    <row r="392" spans="1:19" ht="23" customHeight="1">
      <c r="A392" s="1" t="s">
        <v>449</v>
      </c>
      <c r="B392" s="4">
        <v>46095</v>
      </c>
      <c r="C392" s="1" t="s">
        <v>18</v>
      </c>
      <c r="D392" s="1" t="s">
        <v>62</v>
      </c>
      <c r="E392" s="5">
        <v>14000</v>
      </c>
      <c r="F392" s="1">
        <v>0</v>
      </c>
      <c r="G392" s="4">
        <v>46096</v>
      </c>
      <c r="H392" s="4">
        <v>46099</v>
      </c>
      <c r="I392" s="4">
        <v>46102</v>
      </c>
      <c r="J392" s="4"/>
      <c r="K392" s="1" t="s">
        <v>55</v>
      </c>
      <c r="L392" s="7">
        <f t="shared" si="36"/>
        <v>1</v>
      </c>
      <c r="M392" s="7">
        <f t="shared" si="37"/>
        <v>7</v>
      </c>
      <c r="N392" s="7">
        <f t="shared" si="38"/>
        <v>1</v>
      </c>
      <c r="O392" s="7">
        <f t="shared" si="39"/>
        <v>3</v>
      </c>
      <c r="P392" s="7">
        <f t="shared" si="40"/>
        <v>3</v>
      </c>
      <c r="Q392" s="7" t="str">
        <f>IF(K392="Open",Summary!$B$6-B392,"")</f>
        <v/>
      </c>
      <c r="R392" s="7">
        <f>IF(L392=1,IF(M392&lt;=Summary!$B$5,1,0),"")</f>
        <v>1</v>
      </c>
      <c r="S392" s="1" t="str">
        <f t="shared" si="41"/>
        <v>2026-03</v>
      </c>
    </row>
    <row r="393" spans="1:19" ht="23" customHeight="1">
      <c r="A393" s="1" t="s">
        <v>450</v>
      </c>
      <c r="B393" s="4">
        <v>46048</v>
      </c>
      <c r="C393" s="1" t="s">
        <v>18</v>
      </c>
      <c r="D393" s="1" t="s">
        <v>65</v>
      </c>
      <c r="E393" s="5">
        <v>49000</v>
      </c>
      <c r="F393" s="1">
        <v>1</v>
      </c>
      <c r="G393" s="4">
        <v>46055</v>
      </c>
      <c r="H393" s="4">
        <v>46057</v>
      </c>
      <c r="I393" s="4">
        <v>46059</v>
      </c>
      <c r="J393" s="4"/>
      <c r="K393" s="1" t="s">
        <v>63</v>
      </c>
      <c r="L393" s="7">
        <f t="shared" si="36"/>
        <v>1</v>
      </c>
      <c r="M393" s="7">
        <f t="shared" si="37"/>
        <v>11</v>
      </c>
      <c r="N393" s="7">
        <f t="shared" si="38"/>
        <v>7</v>
      </c>
      <c r="O393" s="7">
        <f t="shared" si="39"/>
        <v>2</v>
      </c>
      <c r="P393" s="7">
        <f t="shared" si="40"/>
        <v>2</v>
      </c>
      <c r="Q393" s="7" t="str">
        <f>IF(K393="Open",Summary!$B$6-B393,"")</f>
        <v/>
      </c>
      <c r="R393" s="7">
        <f>IF(L393=1,IF(M393&lt;=Summary!$B$5,1,0),"")</f>
        <v>0</v>
      </c>
      <c r="S393" s="1" t="str">
        <f t="shared" si="41"/>
        <v>2026-01</v>
      </c>
    </row>
    <row r="394" spans="1:19" ht="23" customHeight="1">
      <c r="A394" s="1" t="s">
        <v>451</v>
      </c>
      <c r="B394" s="4">
        <v>46042</v>
      </c>
      <c r="C394" s="1" t="s">
        <v>18</v>
      </c>
      <c r="D394" s="1" t="s">
        <v>62</v>
      </c>
      <c r="E394" s="5">
        <v>36000</v>
      </c>
      <c r="F394" s="1">
        <v>0</v>
      </c>
      <c r="G394" s="4">
        <v>46042</v>
      </c>
      <c r="H394" s="4">
        <v>46049</v>
      </c>
      <c r="I394" s="4">
        <v>46052</v>
      </c>
      <c r="J394" s="4"/>
      <c r="K394" s="1" t="s">
        <v>55</v>
      </c>
      <c r="L394" s="7">
        <f t="shared" si="36"/>
        <v>1</v>
      </c>
      <c r="M394" s="7">
        <f t="shared" si="37"/>
        <v>10</v>
      </c>
      <c r="N394" s="7">
        <f t="shared" si="38"/>
        <v>0</v>
      </c>
      <c r="O394" s="7">
        <f t="shared" si="39"/>
        <v>7</v>
      </c>
      <c r="P394" s="7">
        <f t="shared" si="40"/>
        <v>3</v>
      </c>
      <c r="Q394" s="7" t="str">
        <f>IF(K394="Open",Summary!$B$6-B394,"")</f>
        <v/>
      </c>
      <c r="R394" s="7">
        <f>IF(L394=1,IF(M394&lt;=Summary!$B$5,1,0),"")</f>
        <v>0</v>
      </c>
      <c r="S394" s="1" t="str">
        <f t="shared" si="41"/>
        <v>2026-01</v>
      </c>
    </row>
    <row r="395" spans="1:19" ht="23" customHeight="1">
      <c r="A395" s="1" t="s">
        <v>452</v>
      </c>
      <c r="B395" s="4">
        <v>46101</v>
      </c>
      <c r="C395" s="1" t="s">
        <v>19</v>
      </c>
      <c r="D395" s="1" t="s">
        <v>54</v>
      </c>
      <c r="E395" s="5">
        <v>8000</v>
      </c>
      <c r="F395" s="1">
        <v>0</v>
      </c>
      <c r="G395" s="4">
        <v>46103</v>
      </c>
      <c r="H395" s="4">
        <v>46107</v>
      </c>
      <c r="I395" s="4">
        <v>46109</v>
      </c>
      <c r="J395" s="4"/>
      <c r="K395" s="1" t="s">
        <v>55</v>
      </c>
      <c r="L395" s="7">
        <f t="shared" si="36"/>
        <v>1</v>
      </c>
      <c r="M395" s="7">
        <f t="shared" si="37"/>
        <v>8</v>
      </c>
      <c r="N395" s="7">
        <f t="shared" si="38"/>
        <v>2</v>
      </c>
      <c r="O395" s="7">
        <f t="shared" si="39"/>
        <v>4</v>
      </c>
      <c r="P395" s="7">
        <f t="shared" si="40"/>
        <v>2</v>
      </c>
      <c r="Q395" s="7" t="str">
        <f>IF(K395="Open",Summary!$B$6-B395,"")</f>
        <v/>
      </c>
      <c r="R395" s="7">
        <f>IF(L395=1,IF(M395&lt;=Summary!$B$5,1,0),"")</f>
        <v>0</v>
      </c>
      <c r="S395" s="1" t="str">
        <f t="shared" si="41"/>
        <v>2026-03</v>
      </c>
    </row>
    <row r="396" spans="1:19" ht="23" customHeight="1">
      <c r="A396" s="1" t="s">
        <v>453</v>
      </c>
      <c r="B396" s="4">
        <v>46051</v>
      </c>
      <c r="C396" s="1" t="s">
        <v>18</v>
      </c>
      <c r="D396" s="1" t="s">
        <v>65</v>
      </c>
      <c r="E396" s="5">
        <v>31000</v>
      </c>
      <c r="F396" s="1">
        <v>1</v>
      </c>
      <c r="G396" s="4">
        <v>46059</v>
      </c>
      <c r="H396" s="4">
        <v>46061</v>
      </c>
      <c r="I396" s="4">
        <v>46063</v>
      </c>
      <c r="J396" s="4"/>
      <c r="K396" s="1" t="s">
        <v>55</v>
      </c>
      <c r="L396" s="7">
        <f t="shared" si="36"/>
        <v>1</v>
      </c>
      <c r="M396" s="7">
        <f t="shared" si="37"/>
        <v>12</v>
      </c>
      <c r="N396" s="7">
        <f t="shared" si="38"/>
        <v>8</v>
      </c>
      <c r="O396" s="7">
        <f t="shared" si="39"/>
        <v>2</v>
      </c>
      <c r="P396" s="7">
        <f t="shared" si="40"/>
        <v>2</v>
      </c>
      <c r="Q396" s="7" t="str">
        <f>IF(K396="Open",Summary!$B$6-B396,"")</f>
        <v/>
      </c>
      <c r="R396" s="7">
        <f>IF(L396=1,IF(M396&lt;=Summary!$B$5,1,0),"")</f>
        <v>0</v>
      </c>
      <c r="S396" s="1" t="str">
        <f t="shared" si="41"/>
        <v>2026-01</v>
      </c>
    </row>
    <row r="397" spans="1:19" ht="23" customHeight="1">
      <c r="A397" s="1" t="s">
        <v>454</v>
      </c>
      <c r="B397" s="4">
        <v>46056</v>
      </c>
      <c r="C397" s="1" t="s">
        <v>18</v>
      </c>
      <c r="D397" s="1" t="s">
        <v>59</v>
      </c>
      <c r="E397" s="5">
        <v>38000</v>
      </c>
      <c r="F397" s="1">
        <v>1</v>
      </c>
      <c r="G397" s="4"/>
      <c r="H397" s="4"/>
      <c r="I397" s="4"/>
      <c r="J397" s="4">
        <v>46059</v>
      </c>
      <c r="K397" s="1" t="s">
        <v>86</v>
      </c>
      <c r="L397" s="7">
        <f t="shared" si="36"/>
        <v>0</v>
      </c>
      <c r="M397" s="7" t="str">
        <f t="shared" si="37"/>
        <v/>
      </c>
      <c r="N397" s="7" t="str">
        <f t="shared" si="38"/>
        <v/>
      </c>
      <c r="O397" s="7" t="str">
        <f t="shared" si="39"/>
        <v/>
      </c>
      <c r="P397" s="7" t="str">
        <f t="shared" si="40"/>
        <v/>
      </c>
      <c r="Q397" s="7" t="str">
        <f>IF(K397="Open",Summary!$B$6-B397,"")</f>
        <v/>
      </c>
      <c r="R397" s="7" t="str">
        <f>IF(L397=1,IF(M397&lt;=Summary!$B$5,1,0),"")</f>
        <v/>
      </c>
      <c r="S397" s="1" t="str">
        <f t="shared" si="41"/>
        <v>2026-02</v>
      </c>
    </row>
    <row r="398" spans="1:19" ht="23" customHeight="1">
      <c r="A398" s="1" t="s">
        <v>455</v>
      </c>
      <c r="B398" s="4">
        <v>46072</v>
      </c>
      <c r="C398" s="1" t="s">
        <v>18</v>
      </c>
      <c r="D398" s="1" t="s">
        <v>59</v>
      </c>
      <c r="E398" s="5">
        <v>40000</v>
      </c>
      <c r="F398" s="1">
        <v>0</v>
      </c>
      <c r="G398" s="4">
        <v>46072</v>
      </c>
      <c r="H398" s="4">
        <v>46078</v>
      </c>
      <c r="I398" s="4">
        <v>46080</v>
      </c>
      <c r="J398" s="4"/>
      <c r="K398" s="1" t="s">
        <v>63</v>
      </c>
      <c r="L398" s="7">
        <f t="shared" si="36"/>
        <v>1</v>
      </c>
      <c r="M398" s="7">
        <f t="shared" si="37"/>
        <v>8</v>
      </c>
      <c r="N398" s="7">
        <f t="shared" si="38"/>
        <v>0</v>
      </c>
      <c r="O398" s="7">
        <f t="shared" si="39"/>
        <v>6</v>
      </c>
      <c r="P398" s="7">
        <f t="shared" si="40"/>
        <v>2</v>
      </c>
      <c r="Q398" s="7" t="str">
        <f>IF(K398="Open",Summary!$B$6-B398,"")</f>
        <v/>
      </c>
      <c r="R398" s="7">
        <f>IF(L398=1,IF(M398&lt;=Summary!$B$5,1,0),"")</f>
        <v>0</v>
      </c>
      <c r="S398" s="1" t="str">
        <f t="shared" si="41"/>
        <v>2026-02</v>
      </c>
    </row>
    <row r="399" spans="1:19" ht="23" customHeight="1">
      <c r="A399" s="1" t="s">
        <v>456</v>
      </c>
      <c r="B399" s="4">
        <v>46108</v>
      </c>
      <c r="C399" s="1" t="s">
        <v>18</v>
      </c>
      <c r="D399" s="1" t="s">
        <v>71</v>
      </c>
      <c r="E399" s="5">
        <v>36000</v>
      </c>
      <c r="F399" s="1">
        <v>1</v>
      </c>
      <c r="G399" s="4"/>
      <c r="H399" s="4"/>
      <c r="I399" s="4"/>
      <c r="J399" s="4"/>
      <c r="K399" s="1" t="s">
        <v>69</v>
      </c>
      <c r="L399" s="7">
        <f t="shared" si="36"/>
        <v>0</v>
      </c>
      <c r="M399" s="7" t="str">
        <f t="shared" si="37"/>
        <v/>
      </c>
      <c r="N399" s="7" t="str">
        <f t="shared" si="38"/>
        <v/>
      </c>
      <c r="O399" s="7" t="str">
        <f t="shared" si="39"/>
        <v/>
      </c>
      <c r="P399" s="7" t="str">
        <f t="shared" si="40"/>
        <v/>
      </c>
      <c r="Q399" s="7">
        <f>IF(K399="Open",Summary!$B$6-B399,"")</f>
        <v>4</v>
      </c>
      <c r="R399" s="7" t="str">
        <f>IF(L399=1,IF(M399&lt;=Summary!$B$5,1,0),"")</f>
        <v/>
      </c>
      <c r="S399" s="1" t="str">
        <f t="shared" si="41"/>
        <v>2026-03</v>
      </c>
    </row>
    <row r="400" spans="1:19" ht="23" customHeight="1">
      <c r="A400" s="1" t="s">
        <v>457</v>
      </c>
      <c r="B400" s="4">
        <v>46041</v>
      </c>
      <c r="C400" s="1" t="s">
        <v>18</v>
      </c>
      <c r="D400" s="1" t="s">
        <v>62</v>
      </c>
      <c r="E400" s="5">
        <v>27000</v>
      </c>
      <c r="F400" s="1">
        <v>1</v>
      </c>
      <c r="G400" s="4"/>
      <c r="H400" s="4"/>
      <c r="I400" s="4"/>
      <c r="J400" s="4">
        <v>46044</v>
      </c>
      <c r="K400" s="1" t="s">
        <v>86</v>
      </c>
      <c r="L400" s="7">
        <f t="shared" si="36"/>
        <v>0</v>
      </c>
      <c r="M400" s="7" t="str">
        <f t="shared" si="37"/>
        <v/>
      </c>
      <c r="N400" s="7" t="str">
        <f t="shared" si="38"/>
        <v/>
      </c>
      <c r="O400" s="7" t="str">
        <f t="shared" si="39"/>
        <v/>
      </c>
      <c r="P400" s="7" t="str">
        <f t="shared" si="40"/>
        <v/>
      </c>
      <c r="Q400" s="7" t="str">
        <f>IF(K400="Open",Summary!$B$6-B400,"")</f>
        <v/>
      </c>
      <c r="R400" s="7" t="str">
        <f>IF(L400=1,IF(M400&lt;=Summary!$B$5,1,0),"")</f>
        <v/>
      </c>
      <c r="S400" s="1" t="str">
        <f t="shared" si="41"/>
        <v>2026-01</v>
      </c>
    </row>
    <row r="401" spans="1:19" ht="23" customHeight="1">
      <c r="A401" s="1" t="s">
        <v>458</v>
      </c>
      <c r="B401" s="4">
        <v>46042</v>
      </c>
      <c r="C401" s="1" t="s">
        <v>19</v>
      </c>
      <c r="D401" s="1" t="s">
        <v>54</v>
      </c>
      <c r="E401" s="5">
        <v>29000</v>
      </c>
      <c r="F401" s="1">
        <v>0</v>
      </c>
      <c r="G401" s="4">
        <v>46042</v>
      </c>
      <c r="H401" s="4">
        <v>46048</v>
      </c>
      <c r="I401" s="4">
        <v>46051</v>
      </c>
      <c r="J401" s="4"/>
      <c r="K401" s="1" t="s">
        <v>55</v>
      </c>
      <c r="L401" s="7">
        <f t="shared" si="36"/>
        <v>1</v>
      </c>
      <c r="M401" s="7">
        <f t="shared" si="37"/>
        <v>9</v>
      </c>
      <c r="N401" s="7">
        <f t="shared" si="38"/>
        <v>0</v>
      </c>
      <c r="O401" s="7">
        <f t="shared" si="39"/>
        <v>6</v>
      </c>
      <c r="P401" s="7">
        <f t="shared" si="40"/>
        <v>3</v>
      </c>
      <c r="Q401" s="7" t="str">
        <f>IF(K401="Open",Summary!$B$6-B401,"")</f>
        <v/>
      </c>
      <c r="R401" s="7">
        <f>IF(L401=1,IF(M401&lt;=Summary!$B$5,1,0),"")</f>
        <v>0</v>
      </c>
      <c r="S401" s="1" t="str">
        <f t="shared" si="41"/>
        <v>2026-01</v>
      </c>
    </row>
    <row r="402" spans="1:19" ht="23" customHeight="1">
      <c r="A402" s="1" t="s">
        <v>459</v>
      </c>
      <c r="B402" s="4">
        <v>46100</v>
      </c>
      <c r="C402" s="1" t="s">
        <v>19</v>
      </c>
      <c r="D402" s="1" t="s">
        <v>54</v>
      </c>
      <c r="E402" s="5">
        <v>19000</v>
      </c>
      <c r="F402" s="1">
        <v>0</v>
      </c>
      <c r="G402" s="4">
        <v>46100</v>
      </c>
      <c r="H402" s="4">
        <v>46103</v>
      </c>
      <c r="I402" s="4">
        <v>46105</v>
      </c>
      <c r="J402" s="4"/>
      <c r="K402" s="1" t="s">
        <v>55</v>
      </c>
      <c r="L402" s="7">
        <f t="shared" si="36"/>
        <v>1</v>
      </c>
      <c r="M402" s="7">
        <f t="shared" si="37"/>
        <v>5</v>
      </c>
      <c r="N402" s="7">
        <f t="shared" si="38"/>
        <v>0</v>
      </c>
      <c r="O402" s="7">
        <f t="shared" si="39"/>
        <v>3</v>
      </c>
      <c r="P402" s="7">
        <f t="shared" si="40"/>
        <v>2</v>
      </c>
      <c r="Q402" s="7" t="str">
        <f>IF(K402="Open",Summary!$B$6-B402,"")</f>
        <v/>
      </c>
      <c r="R402" s="7">
        <f>IF(L402=1,IF(M402&lt;=Summary!$B$5,1,0),"")</f>
        <v>1</v>
      </c>
      <c r="S402" s="1" t="str">
        <f t="shared" si="41"/>
        <v>2026-03</v>
      </c>
    </row>
    <row r="403" spans="1:19" ht="23" customHeight="1">
      <c r="A403" s="1" t="s">
        <v>460</v>
      </c>
      <c r="B403" s="4">
        <v>46087</v>
      </c>
      <c r="C403" s="1" t="s">
        <v>18</v>
      </c>
      <c r="D403" s="1" t="s">
        <v>71</v>
      </c>
      <c r="E403" s="5">
        <v>46000</v>
      </c>
      <c r="F403" s="1">
        <v>0</v>
      </c>
      <c r="G403" s="4">
        <v>46088</v>
      </c>
      <c r="H403" s="4">
        <v>46093</v>
      </c>
      <c r="I403" s="4">
        <v>46095</v>
      </c>
      <c r="J403" s="4"/>
      <c r="K403" s="1" t="s">
        <v>55</v>
      </c>
      <c r="L403" s="7">
        <f t="shared" si="36"/>
        <v>1</v>
      </c>
      <c r="M403" s="7">
        <f t="shared" si="37"/>
        <v>8</v>
      </c>
      <c r="N403" s="7">
        <f t="shared" si="38"/>
        <v>1</v>
      </c>
      <c r="O403" s="7">
        <f t="shared" si="39"/>
        <v>5</v>
      </c>
      <c r="P403" s="7">
        <f t="shared" si="40"/>
        <v>2</v>
      </c>
      <c r="Q403" s="7" t="str">
        <f>IF(K403="Open",Summary!$B$6-B403,"")</f>
        <v/>
      </c>
      <c r="R403" s="7">
        <f>IF(L403=1,IF(M403&lt;=Summary!$B$5,1,0),"")</f>
        <v>0</v>
      </c>
      <c r="S403" s="1" t="str">
        <f t="shared" si="41"/>
        <v>2026-03</v>
      </c>
    </row>
    <row r="404" spans="1:19" ht="23" customHeight="1">
      <c r="A404" s="1" t="s">
        <v>461</v>
      </c>
      <c r="B404" s="4">
        <v>46107</v>
      </c>
      <c r="C404" s="1" t="s">
        <v>18</v>
      </c>
      <c r="D404" s="1" t="s">
        <v>59</v>
      </c>
      <c r="E404" s="5">
        <v>27000</v>
      </c>
      <c r="F404" s="1">
        <v>1</v>
      </c>
      <c r="G404" s="4"/>
      <c r="H404" s="4"/>
      <c r="I404" s="4"/>
      <c r="J404" s="4"/>
      <c r="K404" s="1" t="s">
        <v>69</v>
      </c>
      <c r="L404" s="7">
        <f t="shared" si="36"/>
        <v>0</v>
      </c>
      <c r="M404" s="7" t="str">
        <f t="shared" si="37"/>
        <v/>
      </c>
      <c r="N404" s="7" t="str">
        <f t="shared" si="38"/>
        <v/>
      </c>
      <c r="O404" s="7" t="str">
        <f t="shared" si="39"/>
        <v/>
      </c>
      <c r="P404" s="7" t="str">
        <f t="shared" si="40"/>
        <v/>
      </c>
      <c r="Q404" s="7">
        <f>IF(K404="Open",Summary!$B$6-B404,"")</f>
        <v>5</v>
      </c>
      <c r="R404" s="7" t="str">
        <f>IF(L404=1,IF(M404&lt;=Summary!$B$5,1,0),"")</f>
        <v/>
      </c>
      <c r="S404" s="1" t="str">
        <f t="shared" si="41"/>
        <v>2026-03</v>
      </c>
    </row>
    <row r="405" spans="1:19" ht="23" customHeight="1">
      <c r="A405" s="1" t="s">
        <v>462</v>
      </c>
      <c r="B405" s="4">
        <v>46078</v>
      </c>
      <c r="C405" s="1" t="s">
        <v>18</v>
      </c>
      <c r="D405" s="1" t="s">
        <v>62</v>
      </c>
      <c r="E405" s="5">
        <v>21000</v>
      </c>
      <c r="F405" s="1">
        <v>1</v>
      </c>
      <c r="G405" s="4">
        <v>46087</v>
      </c>
      <c r="H405" s="4">
        <v>46095</v>
      </c>
      <c r="I405" s="4">
        <v>46098</v>
      </c>
      <c r="J405" s="4"/>
      <c r="K405" s="1" t="s">
        <v>55</v>
      </c>
      <c r="L405" s="7">
        <f t="shared" si="36"/>
        <v>1</v>
      </c>
      <c r="M405" s="7">
        <f t="shared" si="37"/>
        <v>20</v>
      </c>
      <c r="N405" s="7">
        <f t="shared" si="38"/>
        <v>9</v>
      </c>
      <c r="O405" s="7">
        <f t="shared" si="39"/>
        <v>8</v>
      </c>
      <c r="P405" s="7">
        <f t="shared" si="40"/>
        <v>3</v>
      </c>
      <c r="Q405" s="7" t="str">
        <f>IF(K405="Open",Summary!$B$6-B405,"")</f>
        <v/>
      </c>
      <c r="R405" s="7">
        <f>IF(L405=1,IF(M405&lt;=Summary!$B$5,1,0),"")</f>
        <v>0</v>
      </c>
      <c r="S405" s="1" t="str">
        <f t="shared" si="41"/>
        <v>2026-02</v>
      </c>
    </row>
    <row r="406" spans="1:19" ht="23" customHeight="1">
      <c r="A406" s="1" t="s">
        <v>463</v>
      </c>
      <c r="B406" s="4">
        <v>46079</v>
      </c>
      <c r="C406" s="1" t="s">
        <v>19</v>
      </c>
      <c r="D406" s="1" t="s">
        <v>54</v>
      </c>
      <c r="E406" s="5">
        <v>14000</v>
      </c>
      <c r="F406" s="1">
        <v>0</v>
      </c>
      <c r="G406" s="4">
        <v>46081</v>
      </c>
      <c r="H406" s="4">
        <v>46086</v>
      </c>
      <c r="I406" s="4">
        <v>46087</v>
      </c>
      <c r="J406" s="4"/>
      <c r="K406" s="1" t="s">
        <v>55</v>
      </c>
      <c r="L406" s="7">
        <f t="shared" si="36"/>
        <v>1</v>
      </c>
      <c r="M406" s="7">
        <f t="shared" si="37"/>
        <v>8</v>
      </c>
      <c r="N406" s="7">
        <f t="shared" si="38"/>
        <v>2</v>
      </c>
      <c r="O406" s="7">
        <f t="shared" si="39"/>
        <v>5</v>
      </c>
      <c r="P406" s="7">
        <f t="shared" si="40"/>
        <v>1</v>
      </c>
      <c r="Q406" s="7" t="str">
        <f>IF(K406="Open",Summary!$B$6-B406,"")</f>
        <v/>
      </c>
      <c r="R406" s="7">
        <f>IF(L406=1,IF(M406&lt;=Summary!$B$5,1,0),"")</f>
        <v>0</v>
      </c>
      <c r="S406" s="1" t="str">
        <f t="shared" si="41"/>
        <v>2026-02</v>
      </c>
    </row>
    <row r="407" spans="1:19" ht="23" customHeight="1">
      <c r="A407" s="1" t="s">
        <v>464</v>
      </c>
      <c r="B407" s="4">
        <v>46110</v>
      </c>
      <c r="C407" s="1" t="s">
        <v>19</v>
      </c>
      <c r="D407" s="1" t="s">
        <v>54</v>
      </c>
      <c r="E407" s="5">
        <v>13000</v>
      </c>
      <c r="F407" s="1">
        <v>0</v>
      </c>
      <c r="G407" s="4">
        <v>46112</v>
      </c>
      <c r="H407" s="4"/>
      <c r="I407" s="4"/>
      <c r="J407" s="4"/>
      <c r="K407" s="1" t="s">
        <v>69</v>
      </c>
      <c r="L407" s="7">
        <f t="shared" si="36"/>
        <v>0</v>
      </c>
      <c r="M407" s="7" t="str">
        <f t="shared" si="37"/>
        <v/>
      </c>
      <c r="N407" s="7" t="str">
        <f t="shared" si="38"/>
        <v/>
      </c>
      <c r="O407" s="7" t="str">
        <f t="shared" si="39"/>
        <v/>
      </c>
      <c r="P407" s="7" t="str">
        <f t="shared" si="40"/>
        <v/>
      </c>
      <c r="Q407" s="7">
        <f>IF(K407="Open",Summary!$B$6-B407,"")</f>
        <v>2</v>
      </c>
      <c r="R407" s="7" t="str">
        <f>IF(L407=1,IF(M407&lt;=Summary!$B$5,1,0),"")</f>
        <v/>
      </c>
      <c r="S407" s="1" t="str">
        <f t="shared" si="41"/>
        <v>2026-03</v>
      </c>
    </row>
    <row r="408" spans="1:19" ht="23" customHeight="1">
      <c r="A408" s="1" t="s">
        <v>465</v>
      </c>
      <c r="B408" s="4">
        <v>46023</v>
      </c>
      <c r="C408" s="1" t="s">
        <v>19</v>
      </c>
      <c r="D408" s="1" t="s">
        <v>54</v>
      </c>
      <c r="E408" s="5">
        <v>25000</v>
      </c>
      <c r="F408" s="1">
        <v>0</v>
      </c>
      <c r="G408" s="4">
        <v>46024</v>
      </c>
      <c r="H408" s="4">
        <v>46026</v>
      </c>
      <c r="I408" s="4">
        <v>46029</v>
      </c>
      <c r="J408" s="4"/>
      <c r="K408" s="1" t="s">
        <v>55</v>
      </c>
      <c r="L408" s="7">
        <f t="shared" si="36"/>
        <v>1</v>
      </c>
      <c r="M408" s="7">
        <f t="shared" si="37"/>
        <v>6</v>
      </c>
      <c r="N408" s="7">
        <f t="shared" si="38"/>
        <v>1</v>
      </c>
      <c r="O408" s="7">
        <f t="shared" si="39"/>
        <v>2</v>
      </c>
      <c r="P408" s="7">
        <f t="shared" si="40"/>
        <v>3</v>
      </c>
      <c r="Q408" s="7" t="str">
        <f>IF(K408="Open",Summary!$B$6-B408,"")</f>
        <v/>
      </c>
      <c r="R408" s="7">
        <f>IF(L408=1,IF(M408&lt;=Summary!$B$5,1,0),"")</f>
        <v>1</v>
      </c>
      <c r="S408" s="1" t="str">
        <f t="shared" si="41"/>
        <v>2026-01</v>
      </c>
    </row>
    <row r="409" spans="1:19" ht="23" customHeight="1">
      <c r="A409" s="1" t="s">
        <v>466</v>
      </c>
      <c r="B409" s="4">
        <v>46097</v>
      </c>
      <c r="C409" s="1" t="s">
        <v>18</v>
      </c>
      <c r="D409" s="1" t="s">
        <v>62</v>
      </c>
      <c r="E409" s="5">
        <v>40000</v>
      </c>
      <c r="F409" s="1">
        <v>0</v>
      </c>
      <c r="G409" s="4">
        <v>46099</v>
      </c>
      <c r="H409" s="4">
        <v>46106</v>
      </c>
      <c r="I409" s="4">
        <v>46109</v>
      </c>
      <c r="J409" s="4"/>
      <c r="K409" s="1" t="s">
        <v>55</v>
      </c>
      <c r="L409" s="7">
        <f t="shared" si="36"/>
        <v>1</v>
      </c>
      <c r="M409" s="7">
        <f t="shared" si="37"/>
        <v>12</v>
      </c>
      <c r="N409" s="7">
        <f t="shared" si="38"/>
        <v>2</v>
      </c>
      <c r="O409" s="7">
        <f t="shared" si="39"/>
        <v>7</v>
      </c>
      <c r="P409" s="7">
        <f t="shared" si="40"/>
        <v>3</v>
      </c>
      <c r="Q409" s="7" t="str">
        <f>IF(K409="Open",Summary!$B$6-B409,"")</f>
        <v/>
      </c>
      <c r="R409" s="7">
        <f>IF(L409=1,IF(M409&lt;=Summary!$B$5,1,0),"")</f>
        <v>0</v>
      </c>
      <c r="S409" s="1" t="str">
        <f t="shared" si="41"/>
        <v>2026-03</v>
      </c>
    </row>
    <row r="410" spans="1:19" ht="23" customHeight="1">
      <c r="A410" s="1" t="s">
        <v>467</v>
      </c>
      <c r="B410" s="4">
        <v>46104</v>
      </c>
      <c r="C410" s="1" t="s">
        <v>18</v>
      </c>
      <c r="D410" s="1" t="s">
        <v>62</v>
      </c>
      <c r="E410" s="5">
        <v>10000</v>
      </c>
      <c r="F410" s="1">
        <v>0</v>
      </c>
      <c r="G410" s="4">
        <v>46105</v>
      </c>
      <c r="H410" s="4">
        <v>46108</v>
      </c>
      <c r="I410" s="4">
        <v>46110</v>
      </c>
      <c r="J410" s="4"/>
      <c r="K410" s="1" t="s">
        <v>55</v>
      </c>
      <c r="L410" s="7">
        <f t="shared" si="36"/>
        <v>1</v>
      </c>
      <c r="M410" s="7">
        <f t="shared" si="37"/>
        <v>6</v>
      </c>
      <c r="N410" s="7">
        <f t="shared" si="38"/>
        <v>1</v>
      </c>
      <c r="O410" s="7">
        <f t="shared" si="39"/>
        <v>3</v>
      </c>
      <c r="P410" s="7">
        <f t="shared" si="40"/>
        <v>2</v>
      </c>
      <c r="Q410" s="7" t="str">
        <f>IF(K410="Open",Summary!$B$6-B410,"")</f>
        <v/>
      </c>
      <c r="R410" s="7">
        <f>IF(L410=1,IF(M410&lt;=Summary!$B$5,1,0),"")</f>
        <v>1</v>
      </c>
      <c r="S410" s="1" t="str">
        <f t="shared" si="41"/>
        <v>2026-03</v>
      </c>
    </row>
    <row r="411" spans="1:19" ht="23" customHeight="1">
      <c r="A411" s="1" t="s">
        <v>468</v>
      </c>
      <c r="B411" s="4">
        <v>46062</v>
      </c>
      <c r="C411" s="1" t="s">
        <v>19</v>
      </c>
      <c r="D411" s="1" t="s">
        <v>54</v>
      </c>
      <c r="E411" s="5">
        <v>38000</v>
      </c>
      <c r="F411" s="1">
        <v>0</v>
      </c>
      <c r="G411" s="4">
        <v>46063</v>
      </c>
      <c r="H411" s="4">
        <v>46066</v>
      </c>
      <c r="I411" s="4">
        <v>46068</v>
      </c>
      <c r="J411" s="4"/>
      <c r="K411" s="1" t="s">
        <v>55</v>
      </c>
      <c r="L411" s="7">
        <f t="shared" si="36"/>
        <v>1</v>
      </c>
      <c r="M411" s="7">
        <f t="shared" si="37"/>
        <v>6</v>
      </c>
      <c r="N411" s="7">
        <f t="shared" si="38"/>
        <v>1</v>
      </c>
      <c r="O411" s="7">
        <f t="shared" si="39"/>
        <v>3</v>
      </c>
      <c r="P411" s="7">
        <f t="shared" si="40"/>
        <v>2</v>
      </c>
      <c r="Q411" s="7" t="str">
        <f>IF(K411="Open",Summary!$B$6-B411,"")</f>
        <v/>
      </c>
      <c r="R411" s="7">
        <f>IF(L411=1,IF(M411&lt;=Summary!$B$5,1,0),"")</f>
        <v>1</v>
      </c>
      <c r="S411" s="1" t="str">
        <f t="shared" si="41"/>
        <v>2026-02</v>
      </c>
    </row>
    <row r="412" spans="1:19" ht="23" customHeight="1">
      <c r="A412" s="1" t="s">
        <v>469</v>
      </c>
      <c r="B412" s="4">
        <v>46102</v>
      </c>
      <c r="C412" s="1" t="s">
        <v>18</v>
      </c>
      <c r="D412" s="1" t="s">
        <v>65</v>
      </c>
      <c r="E412" s="5">
        <v>19000</v>
      </c>
      <c r="F412" s="1">
        <v>0</v>
      </c>
      <c r="G412" s="4">
        <v>46104</v>
      </c>
      <c r="H412" s="4">
        <v>46109</v>
      </c>
      <c r="I412" s="4">
        <v>46112</v>
      </c>
      <c r="J412" s="4"/>
      <c r="K412" s="1" t="s">
        <v>55</v>
      </c>
      <c r="L412" s="7">
        <f t="shared" si="36"/>
        <v>1</v>
      </c>
      <c r="M412" s="7">
        <f t="shared" si="37"/>
        <v>10</v>
      </c>
      <c r="N412" s="7">
        <f t="shared" si="38"/>
        <v>2</v>
      </c>
      <c r="O412" s="7">
        <f t="shared" si="39"/>
        <v>5</v>
      </c>
      <c r="P412" s="7">
        <f t="shared" si="40"/>
        <v>3</v>
      </c>
      <c r="Q412" s="7" t="str">
        <f>IF(K412="Open",Summary!$B$6-B412,"")</f>
        <v/>
      </c>
      <c r="R412" s="7">
        <f>IF(L412=1,IF(M412&lt;=Summary!$B$5,1,0),"")</f>
        <v>0</v>
      </c>
      <c r="S412" s="1" t="str">
        <f t="shared" si="41"/>
        <v>2026-03</v>
      </c>
    </row>
    <row r="413" spans="1:19" ht="23" customHeight="1">
      <c r="A413" s="1" t="s">
        <v>470</v>
      </c>
      <c r="B413" s="4">
        <v>46111</v>
      </c>
      <c r="C413" s="1" t="s">
        <v>18</v>
      </c>
      <c r="D413" s="1" t="s">
        <v>62</v>
      </c>
      <c r="E413" s="5">
        <v>9000</v>
      </c>
      <c r="F413" s="1">
        <v>0</v>
      </c>
      <c r="G413" s="4">
        <v>46112</v>
      </c>
      <c r="H413" s="4"/>
      <c r="I413" s="4"/>
      <c r="J413" s="4"/>
      <c r="K413" s="1" t="s">
        <v>69</v>
      </c>
      <c r="L413" s="7">
        <f t="shared" si="36"/>
        <v>0</v>
      </c>
      <c r="M413" s="7" t="str">
        <f t="shared" si="37"/>
        <v/>
      </c>
      <c r="N413" s="7" t="str">
        <f t="shared" si="38"/>
        <v/>
      </c>
      <c r="O413" s="7" t="str">
        <f t="shared" si="39"/>
        <v/>
      </c>
      <c r="P413" s="7" t="str">
        <f t="shared" si="40"/>
        <v/>
      </c>
      <c r="Q413" s="7">
        <f>IF(K413="Open",Summary!$B$6-B413,"")</f>
        <v>1</v>
      </c>
      <c r="R413" s="7" t="str">
        <f>IF(L413=1,IF(M413&lt;=Summary!$B$5,1,0),"")</f>
        <v/>
      </c>
      <c r="S413" s="1" t="str">
        <f t="shared" si="41"/>
        <v>2026-03</v>
      </c>
    </row>
    <row r="414" spans="1:19" ht="23" customHeight="1">
      <c r="A414" s="1" t="s">
        <v>471</v>
      </c>
      <c r="B414" s="4">
        <v>46041</v>
      </c>
      <c r="C414" s="1" t="s">
        <v>18</v>
      </c>
      <c r="D414" s="1" t="s">
        <v>65</v>
      </c>
      <c r="E414" s="5">
        <v>21000</v>
      </c>
      <c r="F414" s="1">
        <v>0</v>
      </c>
      <c r="G414" s="4">
        <v>46041</v>
      </c>
      <c r="H414" s="4">
        <v>46044</v>
      </c>
      <c r="I414" s="4">
        <v>46045</v>
      </c>
      <c r="J414" s="4"/>
      <c r="K414" s="1" t="s">
        <v>55</v>
      </c>
      <c r="L414" s="7">
        <f t="shared" si="36"/>
        <v>1</v>
      </c>
      <c r="M414" s="7">
        <f t="shared" si="37"/>
        <v>4</v>
      </c>
      <c r="N414" s="7">
        <f t="shared" si="38"/>
        <v>0</v>
      </c>
      <c r="O414" s="7">
        <f t="shared" si="39"/>
        <v>3</v>
      </c>
      <c r="P414" s="7">
        <f t="shared" si="40"/>
        <v>1</v>
      </c>
      <c r="Q414" s="7" t="str">
        <f>IF(K414="Open",Summary!$B$6-B414,"")</f>
        <v/>
      </c>
      <c r="R414" s="7">
        <f>IF(L414=1,IF(M414&lt;=Summary!$B$5,1,0),"")</f>
        <v>1</v>
      </c>
      <c r="S414" s="1" t="str">
        <f t="shared" si="41"/>
        <v>2026-01</v>
      </c>
    </row>
    <row r="415" spans="1:19" ht="23" customHeight="1">
      <c r="A415" s="1" t="s">
        <v>472</v>
      </c>
      <c r="B415" s="4">
        <v>46066</v>
      </c>
      <c r="C415" s="1" t="s">
        <v>19</v>
      </c>
      <c r="D415" s="1" t="s">
        <v>54</v>
      </c>
      <c r="E415" s="5">
        <v>27000</v>
      </c>
      <c r="F415" s="1">
        <v>1</v>
      </c>
      <c r="G415" s="4">
        <v>46070</v>
      </c>
      <c r="H415" s="4">
        <v>46072</v>
      </c>
      <c r="I415" s="4">
        <v>46074</v>
      </c>
      <c r="J415" s="4"/>
      <c r="K415" s="1" t="s">
        <v>55</v>
      </c>
      <c r="L415" s="7">
        <f t="shared" si="36"/>
        <v>1</v>
      </c>
      <c r="M415" s="7">
        <f t="shared" si="37"/>
        <v>8</v>
      </c>
      <c r="N415" s="7">
        <f t="shared" si="38"/>
        <v>4</v>
      </c>
      <c r="O415" s="7">
        <f t="shared" si="39"/>
        <v>2</v>
      </c>
      <c r="P415" s="7">
        <f t="shared" si="40"/>
        <v>2</v>
      </c>
      <c r="Q415" s="7" t="str">
        <f>IF(K415="Open",Summary!$B$6-B415,"")</f>
        <v/>
      </c>
      <c r="R415" s="7">
        <f>IF(L415=1,IF(M415&lt;=Summary!$B$5,1,0),"")</f>
        <v>0</v>
      </c>
      <c r="S415" s="1" t="str">
        <f t="shared" si="41"/>
        <v>2026-02</v>
      </c>
    </row>
    <row r="416" spans="1:19" ht="23" customHeight="1">
      <c r="A416" s="1" t="s">
        <v>473</v>
      </c>
      <c r="B416" s="4">
        <v>46060</v>
      </c>
      <c r="C416" s="1" t="s">
        <v>19</v>
      </c>
      <c r="D416" s="1" t="s">
        <v>54</v>
      </c>
      <c r="E416" s="5">
        <v>46000</v>
      </c>
      <c r="F416" s="1">
        <v>0</v>
      </c>
      <c r="G416" s="4">
        <v>46060</v>
      </c>
      <c r="H416" s="4">
        <v>46063</v>
      </c>
      <c r="I416" s="4">
        <v>46065</v>
      </c>
      <c r="J416" s="4"/>
      <c r="K416" s="1" t="s">
        <v>55</v>
      </c>
      <c r="L416" s="7">
        <f t="shared" si="36"/>
        <v>1</v>
      </c>
      <c r="M416" s="7">
        <f t="shared" si="37"/>
        <v>5</v>
      </c>
      <c r="N416" s="7">
        <f t="shared" si="38"/>
        <v>0</v>
      </c>
      <c r="O416" s="7">
        <f t="shared" si="39"/>
        <v>3</v>
      </c>
      <c r="P416" s="7">
        <f t="shared" si="40"/>
        <v>2</v>
      </c>
      <c r="Q416" s="7" t="str">
        <f>IF(K416="Open",Summary!$B$6-B416,"")</f>
        <v/>
      </c>
      <c r="R416" s="7">
        <f>IF(L416=1,IF(M416&lt;=Summary!$B$5,1,0),"")</f>
        <v>1</v>
      </c>
      <c r="S416" s="1" t="str">
        <f t="shared" si="41"/>
        <v>2026-02</v>
      </c>
    </row>
    <row r="417" spans="1:19" ht="23" customHeight="1">
      <c r="A417" s="1" t="s">
        <v>474</v>
      </c>
      <c r="B417" s="4">
        <v>46065</v>
      </c>
      <c r="C417" s="1" t="s">
        <v>18</v>
      </c>
      <c r="D417" s="1" t="s">
        <v>62</v>
      </c>
      <c r="E417" s="5">
        <v>16000</v>
      </c>
      <c r="F417" s="1">
        <v>1</v>
      </c>
      <c r="G417" s="4">
        <v>46072</v>
      </c>
      <c r="H417" s="4">
        <v>46075</v>
      </c>
      <c r="I417" s="4">
        <v>46076</v>
      </c>
      <c r="J417" s="4"/>
      <c r="K417" s="1" t="s">
        <v>55</v>
      </c>
      <c r="L417" s="7">
        <f t="shared" si="36"/>
        <v>1</v>
      </c>
      <c r="M417" s="7">
        <f t="shared" si="37"/>
        <v>11</v>
      </c>
      <c r="N417" s="7">
        <f t="shared" si="38"/>
        <v>7</v>
      </c>
      <c r="O417" s="7">
        <f t="shared" si="39"/>
        <v>3</v>
      </c>
      <c r="P417" s="7">
        <f t="shared" si="40"/>
        <v>1</v>
      </c>
      <c r="Q417" s="7" t="str">
        <f>IF(K417="Open",Summary!$B$6-B417,"")</f>
        <v/>
      </c>
      <c r="R417" s="7">
        <f>IF(L417=1,IF(M417&lt;=Summary!$B$5,1,0),"")</f>
        <v>0</v>
      </c>
      <c r="S417" s="1" t="str">
        <f t="shared" si="41"/>
        <v>2026-02</v>
      </c>
    </row>
    <row r="418" spans="1:19" ht="23" customHeight="1">
      <c r="A418" s="1" t="s">
        <v>475</v>
      </c>
      <c r="B418" s="4">
        <v>46030</v>
      </c>
      <c r="C418" s="1" t="s">
        <v>18</v>
      </c>
      <c r="D418" s="1" t="s">
        <v>65</v>
      </c>
      <c r="E418" s="5">
        <v>40000</v>
      </c>
      <c r="F418" s="1">
        <v>0</v>
      </c>
      <c r="G418" s="4">
        <v>46031</v>
      </c>
      <c r="H418" s="4">
        <v>46033</v>
      </c>
      <c r="I418" s="4">
        <v>46035</v>
      </c>
      <c r="J418" s="4"/>
      <c r="K418" s="1" t="s">
        <v>55</v>
      </c>
      <c r="L418" s="7">
        <f t="shared" si="36"/>
        <v>1</v>
      </c>
      <c r="M418" s="7">
        <f t="shared" si="37"/>
        <v>5</v>
      </c>
      <c r="N418" s="7">
        <f t="shared" si="38"/>
        <v>1</v>
      </c>
      <c r="O418" s="7">
        <f t="shared" si="39"/>
        <v>2</v>
      </c>
      <c r="P418" s="7">
        <f t="shared" si="40"/>
        <v>2</v>
      </c>
      <c r="Q418" s="7" t="str">
        <f>IF(K418="Open",Summary!$B$6-B418,"")</f>
        <v/>
      </c>
      <c r="R418" s="7">
        <f>IF(L418=1,IF(M418&lt;=Summary!$B$5,1,0),"")</f>
        <v>1</v>
      </c>
      <c r="S418" s="1" t="str">
        <f t="shared" si="41"/>
        <v>2026-01</v>
      </c>
    </row>
    <row r="419" spans="1:19" ht="23" customHeight="1">
      <c r="A419" s="1" t="s">
        <v>476</v>
      </c>
      <c r="B419" s="4">
        <v>46059</v>
      </c>
      <c r="C419" s="1" t="s">
        <v>19</v>
      </c>
      <c r="D419" s="1" t="s">
        <v>54</v>
      </c>
      <c r="E419" s="5">
        <v>32000</v>
      </c>
      <c r="F419" s="1">
        <v>0</v>
      </c>
      <c r="G419" s="4">
        <v>46061</v>
      </c>
      <c r="H419" s="4">
        <v>46064</v>
      </c>
      <c r="I419" s="4">
        <v>46067</v>
      </c>
      <c r="J419" s="4"/>
      <c r="K419" s="1" t="s">
        <v>55</v>
      </c>
      <c r="L419" s="7">
        <f t="shared" si="36"/>
        <v>1</v>
      </c>
      <c r="M419" s="7">
        <f t="shared" si="37"/>
        <v>8</v>
      </c>
      <c r="N419" s="7">
        <f t="shared" si="38"/>
        <v>2</v>
      </c>
      <c r="O419" s="7">
        <f t="shared" si="39"/>
        <v>3</v>
      </c>
      <c r="P419" s="7">
        <f t="shared" si="40"/>
        <v>3</v>
      </c>
      <c r="Q419" s="7" t="str">
        <f>IF(K419="Open",Summary!$B$6-B419,"")</f>
        <v/>
      </c>
      <c r="R419" s="7">
        <f>IF(L419=1,IF(M419&lt;=Summary!$B$5,1,0),"")</f>
        <v>0</v>
      </c>
      <c r="S419" s="1" t="str">
        <f t="shared" si="41"/>
        <v>2026-02</v>
      </c>
    </row>
    <row r="420" spans="1:19" ht="23" customHeight="1">
      <c r="A420" s="1" t="s">
        <v>477</v>
      </c>
      <c r="B420" s="4">
        <v>46060</v>
      </c>
      <c r="C420" s="1" t="s">
        <v>18</v>
      </c>
      <c r="D420" s="1" t="s">
        <v>65</v>
      </c>
      <c r="E420" s="5">
        <v>13000</v>
      </c>
      <c r="F420" s="1">
        <v>1</v>
      </c>
      <c r="G420" s="4">
        <v>46066</v>
      </c>
      <c r="H420" s="4">
        <v>46071</v>
      </c>
      <c r="I420" s="4">
        <v>46073</v>
      </c>
      <c r="J420" s="4"/>
      <c r="K420" s="1" t="s">
        <v>55</v>
      </c>
      <c r="L420" s="7">
        <f t="shared" si="36"/>
        <v>1</v>
      </c>
      <c r="M420" s="7">
        <f t="shared" si="37"/>
        <v>13</v>
      </c>
      <c r="N420" s="7">
        <f t="shared" si="38"/>
        <v>6</v>
      </c>
      <c r="O420" s="7">
        <f t="shared" si="39"/>
        <v>5</v>
      </c>
      <c r="P420" s="7">
        <f t="shared" si="40"/>
        <v>2</v>
      </c>
      <c r="Q420" s="7" t="str">
        <f>IF(K420="Open",Summary!$B$6-B420,"")</f>
        <v/>
      </c>
      <c r="R420" s="7">
        <f>IF(L420=1,IF(M420&lt;=Summary!$B$5,1,0),"")</f>
        <v>0</v>
      </c>
      <c r="S420" s="1" t="str">
        <f t="shared" si="41"/>
        <v>2026-02</v>
      </c>
    </row>
    <row r="421" spans="1:19" ht="23" customHeight="1">
      <c r="A421" s="1" t="s">
        <v>478</v>
      </c>
      <c r="B421" s="4">
        <v>46047</v>
      </c>
      <c r="C421" s="1" t="s">
        <v>18</v>
      </c>
      <c r="D421" s="1" t="s">
        <v>65</v>
      </c>
      <c r="E421" s="5">
        <v>10000</v>
      </c>
      <c r="F421" s="1">
        <v>1</v>
      </c>
      <c r="G421" s="4">
        <v>46056</v>
      </c>
      <c r="H421" s="4">
        <v>46062</v>
      </c>
      <c r="I421" s="4">
        <v>46065</v>
      </c>
      <c r="J421" s="4"/>
      <c r="K421" s="1" t="s">
        <v>55</v>
      </c>
      <c r="L421" s="7">
        <f t="shared" si="36"/>
        <v>1</v>
      </c>
      <c r="M421" s="7">
        <f t="shared" si="37"/>
        <v>18</v>
      </c>
      <c r="N421" s="7">
        <f t="shared" si="38"/>
        <v>9</v>
      </c>
      <c r="O421" s="7">
        <f t="shared" si="39"/>
        <v>6</v>
      </c>
      <c r="P421" s="7">
        <f t="shared" si="40"/>
        <v>3</v>
      </c>
      <c r="Q421" s="7" t="str">
        <f>IF(K421="Open",Summary!$B$6-B421,"")</f>
        <v/>
      </c>
      <c r="R421" s="7">
        <f>IF(L421=1,IF(M421&lt;=Summary!$B$5,1,0),"")</f>
        <v>0</v>
      </c>
      <c r="S421" s="1" t="str">
        <f t="shared" si="41"/>
        <v>2026-01</v>
      </c>
    </row>
    <row r="422" spans="1:19" ht="23" customHeight="1">
      <c r="A422" s="1" t="s">
        <v>479</v>
      </c>
      <c r="B422" s="4">
        <v>46101</v>
      </c>
      <c r="C422" s="1" t="s">
        <v>18</v>
      </c>
      <c r="D422" s="1" t="s">
        <v>65</v>
      </c>
      <c r="E422" s="5">
        <v>10000</v>
      </c>
      <c r="F422" s="1">
        <v>1</v>
      </c>
      <c r="G422" s="4">
        <v>46108</v>
      </c>
      <c r="H422" s="4">
        <v>46112</v>
      </c>
      <c r="I422" s="4"/>
      <c r="J422" s="4"/>
      <c r="K422" s="1" t="s">
        <v>69</v>
      </c>
      <c r="L422" s="7">
        <f t="shared" si="36"/>
        <v>0</v>
      </c>
      <c r="M422" s="7" t="str">
        <f t="shared" si="37"/>
        <v/>
      </c>
      <c r="N422" s="7" t="str">
        <f t="shared" si="38"/>
        <v/>
      </c>
      <c r="O422" s="7" t="str">
        <f t="shared" si="39"/>
        <v/>
      </c>
      <c r="P422" s="7" t="str">
        <f t="shared" si="40"/>
        <v/>
      </c>
      <c r="Q422" s="7">
        <f>IF(K422="Open",Summary!$B$6-B422,"")</f>
        <v>11</v>
      </c>
      <c r="R422" s="7" t="str">
        <f>IF(L422=1,IF(M422&lt;=Summary!$B$5,1,0),"")</f>
        <v/>
      </c>
      <c r="S422" s="1" t="str">
        <f t="shared" si="41"/>
        <v>2026-03</v>
      </c>
    </row>
    <row r="423" spans="1:19" ht="23" customHeight="1">
      <c r="A423" s="1" t="s">
        <v>480</v>
      </c>
      <c r="B423" s="4">
        <v>46072</v>
      </c>
      <c r="C423" s="1" t="s">
        <v>19</v>
      </c>
      <c r="D423" s="1" t="s">
        <v>54</v>
      </c>
      <c r="E423" s="5">
        <v>17000</v>
      </c>
      <c r="F423" s="1">
        <v>0</v>
      </c>
      <c r="G423" s="4">
        <v>46073</v>
      </c>
      <c r="H423" s="4">
        <v>46075</v>
      </c>
      <c r="I423" s="4">
        <v>46076</v>
      </c>
      <c r="J423" s="4"/>
      <c r="K423" s="1" t="s">
        <v>55</v>
      </c>
      <c r="L423" s="7">
        <f t="shared" si="36"/>
        <v>1</v>
      </c>
      <c r="M423" s="7">
        <f t="shared" si="37"/>
        <v>4</v>
      </c>
      <c r="N423" s="7">
        <f t="shared" si="38"/>
        <v>1</v>
      </c>
      <c r="O423" s="7">
        <f t="shared" si="39"/>
        <v>2</v>
      </c>
      <c r="P423" s="7">
        <f t="shared" si="40"/>
        <v>1</v>
      </c>
      <c r="Q423" s="7" t="str">
        <f>IF(K423="Open",Summary!$B$6-B423,"")</f>
        <v/>
      </c>
      <c r="R423" s="7">
        <f>IF(L423=1,IF(M423&lt;=Summary!$B$5,1,0),"")</f>
        <v>1</v>
      </c>
      <c r="S423" s="1" t="str">
        <f t="shared" si="41"/>
        <v>2026-02</v>
      </c>
    </row>
    <row r="424" spans="1:19" ht="23" customHeight="1">
      <c r="A424" s="1" t="s">
        <v>481</v>
      </c>
      <c r="B424" s="4">
        <v>46109</v>
      </c>
      <c r="C424" s="1" t="s">
        <v>18</v>
      </c>
      <c r="D424" s="1" t="s">
        <v>71</v>
      </c>
      <c r="E424" s="5">
        <v>48000</v>
      </c>
      <c r="F424" s="1">
        <v>1</v>
      </c>
      <c r="G424" s="4">
        <v>46112</v>
      </c>
      <c r="H424" s="4"/>
      <c r="I424" s="4"/>
      <c r="J424" s="4"/>
      <c r="K424" s="1" t="s">
        <v>69</v>
      </c>
      <c r="L424" s="7">
        <f t="shared" si="36"/>
        <v>0</v>
      </c>
      <c r="M424" s="7" t="str">
        <f t="shared" si="37"/>
        <v/>
      </c>
      <c r="N424" s="7" t="str">
        <f t="shared" si="38"/>
        <v/>
      </c>
      <c r="O424" s="7" t="str">
        <f t="shared" si="39"/>
        <v/>
      </c>
      <c r="P424" s="7" t="str">
        <f t="shared" si="40"/>
        <v/>
      </c>
      <c r="Q424" s="7">
        <f>IF(K424="Open",Summary!$B$6-B424,"")</f>
        <v>3</v>
      </c>
      <c r="R424" s="7" t="str">
        <f>IF(L424=1,IF(M424&lt;=Summary!$B$5,1,0),"")</f>
        <v/>
      </c>
      <c r="S424" s="1" t="str">
        <f t="shared" si="41"/>
        <v>2026-03</v>
      </c>
    </row>
    <row r="425" spans="1:19" ht="23" customHeight="1">
      <c r="A425" s="1" t="s">
        <v>482</v>
      </c>
      <c r="B425" s="4">
        <v>46025</v>
      </c>
      <c r="C425" s="1" t="s">
        <v>19</v>
      </c>
      <c r="D425" s="1" t="s">
        <v>54</v>
      </c>
      <c r="E425" s="5">
        <v>14000</v>
      </c>
      <c r="F425" s="1">
        <v>0</v>
      </c>
      <c r="G425" s="4">
        <v>46026</v>
      </c>
      <c r="H425" s="4">
        <v>46029</v>
      </c>
      <c r="I425" s="4">
        <v>46032</v>
      </c>
      <c r="J425" s="4"/>
      <c r="K425" s="1" t="s">
        <v>55</v>
      </c>
      <c r="L425" s="7">
        <f t="shared" si="36"/>
        <v>1</v>
      </c>
      <c r="M425" s="7">
        <f t="shared" si="37"/>
        <v>7</v>
      </c>
      <c r="N425" s="7">
        <f t="shared" si="38"/>
        <v>1</v>
      </c>
      <c r="O425" s="7">
        <f t="shared" si="39"/>
        <v>3</v>
      </c>
      <c r="P425" s="7">
        <f t="shared" si="40"/>
        <v>3</v>
      </c>
      <c r="Q425" s="7" t="str">
        <f>IF(K425="Open",Summary!$B$6-B425,"")</f>
        <v/>
      </c>
      <c r="R425" s="7">
        <f>IF(L425=1,IF(M425&lt;=Summary!$B$5,1,0),"")</f>
        <v>1</v>
      </c>
      <c r="S425" s="1" t="str">
        <f t="shared" si="41"/>
        <v>2026-01</v>
      </c>
    </row>
    <row r="426" spans="1:19" ht="23" customHeight="1">
      <c r="A426" s="1" t="s">
        <v>483</v>
      </c>
      <c r="B426" s="4">
        <v>46068</v>
      </c>
      <c r="C426" s="1" t="s">
        <v>18</v>
      </c>
      <c r="D426" s="1" t="s">
        <v>59</v>
      </c>
      <c r="E426" s="5">
        <v>50000</v>
      </c>
      <c r="F426" s="1">
        <v>0</v>
      </c>
      <c r="G426" s="4">
        <v>46069</v>
      </c>
      <c r="H426" s="4">
        <v>46074</v>
      </c>
      <c r="I426" s="4">
        <v>46075</v>
      </c>
      <c r="J426" s="4"/>
      <c r="K426" s="1" t="s">
        <v>55</v>
      </c>
      <c r="L426" s="7">
        <f t="shared" si="36"/>
        <v>1</v>
      </c>
      <c r="M426" s="7">
        <f t="shared" si="37"/>
        <v>7</v>
      </c>
      <c r="N426" s="7">
        <f t="shared" si="38"/>
        <v>1</v>
      </c>
      <c r="O426" s="7">
        <f t="shared" si="39"/>
        <v>5</v>
      </c>
      <c r="P426" s="7">
        <f t="shared" si="40"/>
        <v>1</v>
      </c>
      <c r="Q426" s="7" t="str">
        <f>IF(K426="Open",Summary!$B$6-B426,"")</f>
        <v/>
      </c>
      <c r="R426" s="7">
        <f>IF(L426=1,IF(M426&lt;=Summary!$B$5,1,0),"")</f>
        <v>1</v>
      </c>
      <c r="S426" s="1" t="str">
        <f t="shared" si="41"/>
        <v>2026-02</v>
      </c>
    </row>
    <row r="427" spans="1:19" ht="23" customHeight="1">
      <c r="A427" s="1" t="s">
        <v>484</v>
      </c>
      <c r="B427" s="4">
        <v>46028</v>
      </c>
      <c r="C427" s="1" t="s">
        <v>19</v>
      </c>
      <c r="D427" s="1" t="s">
        <v>54</v>
      </c>
      <c r="E427" s="5">
        <v>37000</v>
      </c>
      <c r="F427" s="1">
        <v>0</v>
      </c>
      <c r="G427" s="4">
        <v>46029</v>
      </c>
      <c r="H427" s="4">
        <v>46033</v>
      </c>
      <c r="I427" s="4">
        <v>46035</v>
      </c>
      <c r="J427" s="4"/>
      <c r="K427" s="1" t="s">
        <v>55</v>
      </c>
      <c r="L427" s="7">
        <f t="shared" si="36"/>
        <v>1</v>
      </c>
      <c r="M427" s="7">
        <f t="shared" si="37"/>
        <v>7</v>
      </c>
      <c r="N427" s="7">
        <f t="shared" si="38"/>
        <v>1</v>
      </c>
      <c r="O427" s="7">
        <f t="shared" si="39"/>
        <v>4</v>
      </c>
      <c r="P427" s="7">
        <f t="shared" si="40"/>
        <v>2</v>
      </c>
      <c r="Q427" s="7" t="str">
        <f>IF(K427="Open",Summary!$B$6-B427,"")</f>
        <v/>
      </c>
      <c r="R427" s="7">
        <f>IF(L427=1,IF(M427&lt;=Summary!$B$5,1,0),"")</f>
        <v>1</v>
      </c>
      <c r="S427" s="1" t="str">
        <f t="shared" si="41"/>
        <v>2026-01</v>
      </c>
    </row>
    <row r="428" spans="1:19" ht="23" customHeight="1">
      <c r="A428" s="1" t="s">
        <v>485</v>
      </c>
      <c r="B428" s="4">
        <v>46048</v>
      </c>
      <c r="C428" s="1" t="s">
        <v>19</v>
      </c>
      <c r="D428" s="1" t="s">
        <v>54</v>
      </c>
      <c r="E428" s="5">
        <v>10000</v>
      </c>
      <c r="F428" s="1">
        <v>0</v>
      </c>
      <c r="G428" s="4">
        <v>46048</v>
      </c>
      <c r="H428" s="4">
        <v>46051</v>
      </c>
      <c r="I428" s="4">
        <v>46052</v>
      </c>
      <c r="J428" s="4"/>
      <c r="K428" s="1" t="s">
        <v>55</v>
      </c>
      <c r="L428" s="7">
        <f t="shared" si="36"/>
        <v>1</v>
      </c>
      <c r="M428" s="7">
        <f t="shared" si="37"/>
        <v>4</v>
      </c>
      <c r="N428" s="7">
        <f t="shared" si="38"/>
        <v>0</v>
      </c>
      <c r="O428" s="7">
        <f t="shared" si="39"/>
        <v>3</v>
      </c>
      <c r="P428" s="7">
        <f t="shared" si="40"/>
        <v>1</v>
      </c>
      <c r="Q428" s="7" t="str">
        <f>IF(K428="Open",Summary!$B$6-B428,"")</f>
        <v/>
      </c>
      <c r="R428" s="7">
        <f>IF(L428=1,IF(M428&lt;=Summary!$B$5,1,0),"")</f>
        <v>1</v>
      </c>
      <c r="S428" s="1" t="str">
        <f t="shared" si="41"/>
        <v>2026-01</v>
      </c>
    </row>
    <row r="429" spans="1:19" ht="23" customHeight="1">
      <c r="A429" s="1" t="s">
        <v>486</v>
      </c>
      <c r="B429" s="4">
        <v>46081</v>
      </c>
      <c r="C429" s="1" t="s">
        <v>19</v>
      </c>
      <c r="D429" s="1" t="s">
        <v>54</v>
      </c>
      <c r="E429" s="5">
        <v>32000</v>
      </c>
      <c r="F429" s="1">
        <v>0</v>
      </c>
      <c r="G429" s="4">
        <v>46082</v>
      </c>
      <c r="H429" s="4">
        <v>46085</v>
      </c>
      <c r="I429" s="4">
        <v>46087</v>
      </c>
      <c r="J429" s="4"/>
      <c r="K429" s="1" t="s">
        <v>55</v>
      </c>
      <c r="L429" s="7">
        <f t="shared" si="36"/>
        <v>1</v>
      </c>
      <c r="M429" s="7">
        <f t="shared" si="37"/>
        <v>6</v>
      </c>
      <c r="N429" s="7">
        <f t="shared" si="38"/>
        <v>1</v>
      </c>
      <c r="O429" s="7">
        <f t="shared" si="39"/>
        <v>3</v>
      </c>
      <c r="P429" s="7">
        <f t="shared" si="40"/>
        <v>2</v>
      </c>
      <c r="Q429" s="7" t="str">
        <f>IF(K429="Open",Summary!$B$6-B429,"")</f>
        <v/>
      </c>
      <c r="R429" s="7">
        <f>IF(L429=1,IF(M429&lt;=Summary!$B$5,1,0),"")</f>
        <v>1</v>
      </c>
      <c r="S429" s="1" t="str">
        <f t="shared" si="41"/>
        <v>2026-02</v>
      </c>
    </row>
    <row r="430" spans="1:19" ht="23" customHeight="1">
      <c r="A430" s="1" t="s">
        <v>487</v>
      </c>
      <c r="B430" s="4">
        <v>46047</v>
      </c>
      <c r="C430" s="1" t="s">
        <v>18</v>
      </c>
      <c r="D430" s="1" t="s">
        <v>65</v>
      </c>
      <c r="E430" s="5">
        <v>47000</v>
      </c>
      <c r="F430" s="1">
        <v>1</v>
      </c>
      <c r="G430" s="4">
        <v>46051</v>
      </c>
      <c r="H430" s="4">
        <v>46056</v>
      </c>
      <c r="I430" s="4">
        <v>46057</v>
      </c>
      <c r="J430" s="4"/>
      <c r="K430" s="1" t="s">
        <v>55</v>
      </c>
      <c r="L430" s="7">
        <f t="shared" si="36"/>
        <v>1</v>
      </c>
      <c r="M430" s="7">
        <f t="shared" si="37"/>
        <v>10</v>
      </c>
      <c r="N430" s="7">
        <f t="shared" si="38"/>
        <v>4</v>
      </c>
      <c r="O430" s="7">
        <f t="shared" si="39"/>
        <v>5</v>
      </c>
      <c r="P430" s="7">
        <f t="shared" si="40"/>
        <v>1</v>
      </c>
      <c r="Q430" s="7" t="str">
        <f>IF(K430="Open",Summary!$B$6-B430,"")</f>
        <v/>
      </c>
      <c r="R430" s="7">
        <f>IF(L430=1,IF(M430&lt;=Summary!$B$5,1,0),"")</f>
        <v>0</v>
      </c>
      <c r="S430" s="1" t="str">
        <f t="shared" si="41"/>
        <v>2026-01</v>
      </c>
    </row>
    <row r="431" spans="1:19" ht="23" customHeight="1">
      <c r="A431" s="1" t="s">
        <v>488</v>
      </c>
      <c r="B431" s="4">
        <v>46060</v>
      </c>
      <c r="C431" s="1" t="s">
        <v>18</v>
      </c>
      <c r="D431" s="1" t="s">
        <v>62</v>
      </c>
      <c r="E431" s="5">
        <v>26000</v>
      </c>
      <c r="F431" s="1">
        <v>0</v>
      </c>
      <c r="G431" s="4">
        <v>46061</v>
      </c>
      <c r="H431" s="4">
        <v>46068</v>
      </c>
      <c r="I431" s="4">
        <v>46069</v>
      </c>
      <c r="J431" s="4"/>
      <c r="K431" s="1" t="s">
        <v>55</v>
      </c>
      <c r="L431" s="7">
        <f t="shared" si="36"/>
        <v>1</v>
      </c>
      <c r="M431" s="7">
        <f t="shared" si="37"/>
        <v>9</v>
      </c>
      <c r="N431" s="7">
        <f t="shared" si="38"/>
        <v>1</v>
      </c>
      <c r="O431" s="7">
        <f t="shared" si="39"/>
        <v>7</v>
      </c>
      <c r="P431" s="7">
        <f t="shared" si="40"/>
        <v>1</v>
      </c>
      <c r="Q431" s="7" t="str">
        <f>IF(K431="Open",Summary!$B$6-B431,"")</f>
        <v/>
      </c>
      <c r="R431" s="7">
        <f>IF(L431=1,IF(M431&lt;=Summary!$B$5,1,0),"")</f>
        <v>0</v>
      </c>
      <c r="S431" s="1" t="str">
        <f t="shared" si="41"/>
        <v>2026-02</v>
      </c>
    </row>
    <row r="432" spans="1:19" ht="23" customHeight="1">
      <c r="A432" s="1" t="s">
        <v>489</v>
      </c>
      <c r="B432" s="4">
        <v>46033</v>
      </c>
      <c r="C432" s="1" t="s">
        <v>19</v>
      </c>
      <c r="D432" s="1" t="s">
        <v>54</v>
      </c>
      <c r="E432" s="5">
        <v>39000</v>
      </c>
      <c r="F432" s="1">
        <v>0</v>
      </c>
      <c r="G432" s="4">
        <v>46035</v>
      </c>
      <c r="H432" s="4">
        <v>46038</v>
      </c>
      <c r="I432" s="4">
        <v>46041</v>
      </c>
      <c r="J432" s="4"/>
      <c r="K432" s="1" t="s">
        <v>55</v>
      </c>
      <c r="L432" s="7">
        <f t="shared" si="36"/>
        <v>1</v>
      </c>
      <c r="M432" s="7">
        <f t="shared" si="37"/>
        <v>8</v>
      </c>
      <c r="N432" s="7">
        <f t="shared" si="38"/>
        <v>2</v>
      </c>
      <c r="O432" s="7">
        <f t="shared" si="39"/>
        <v>3</v>
      </c>
      <c r="P432" s="7">
        <f t="shared" si="40"/>
        <v>3</v>
      </c>
      <c r="Q432" s="7" t="str">
        <f>IF(K432="Open",Summary!$B$6-B432,"")</f>
        <v/>
      </c>
      <c r="R432" s="7">
        <f>IF(L432=1,IF(M432&lt;=Summary!$B$5,1,0),"")</f>
        <v>0</v>
      </c>
      <c r="S432" s="1" t="str">
        <f t="shared" si="41"/>
        <v>2026-01</v>
      </c>
    </row>
    <row r="433" spans="1:19" ht="23" customHeight="1">
      <c r="A433" s="1" t="s">
        <v>490</v>
      </c>
      <c r="B433" s="4">
        <v>46100</v>
      </c>
      <c r="C433" s="1" t="s">
        <v>19</v>
      </c>
      <c r="D433" s="1" t="s">
        <v>54</v>
      </c>
      <c r="E433" s="5">
        <v>48000</v>
      </c>
      <c r="F433" s="1">
        <v>1</v>
      </c>
      <c r="G433" s="4">
        <v>46104</v>
      </c>
      <c r="H433" s="4">
        <v>46106</v>
      </c>
      <c r="I433" s="4">
        <v>46109</v>
      </c>
      <c r="J433" s="4"/>
      <c r="K433" s="1" t="s">
        <v>55</v>
      </c>
      <c r="L433" s="7">
        <f t="shared" si="36"/>
        <v>1</v>
      </c>
      <c r="M433" s="7">
        <f t="shared" si="37"/>
        <v>9</v>
      </c>
      <c r="N433" s="7">
        <f t="shared" si="38"/>
        <v>4</v>
      </c>
      <c r="O433" s="7">
        <f t="shared" si="39"/>
        <v>2</v>
      </c>
      <c r="P433" s="7">
        <f t="shared" si="40"/>
        <v>3</v>
      </c>
      <c r="Q433" s="7" t="str">
        <f>IF(K433="Open",Summary!$B$6-B433,"")</f>
        <v/>
      </c>
      <c r="R433" s="7">
        <f>IF(L433=1,IF(M433&lt;=Summary!$B$5,1,0),"")</f>
        <v>0</v>
      </c>
      <c r="S433" s="1" t="str">
        <f t="shared" si="41"/>
        <v>2026-03</v>
      </c>
    </row>
    <row r="434" spans="1:19" ht="23" customHeight="1">
      <c r="A434" s="1" t="s">
        <v>491</v>
      </c>
      <c r="B434" s="4">
        <v>46034</v>
      </c>
      <c r="C434" s="1" t="s">
        <v>19</v>
      </c>
      <c r="D434" s="1" t="s">
        <v>54</v>
      </c>
      <c r="E434" s="5">
        <v>43000</v>
      </c>
      <c r="F434" s="1">
        <v>0</v>
      </c>
      <c r="G434" s="4">
        <v>46035</v>
      </c>
      <c r="H434" s="4">
        <v>46037</v>
      </c>
      <c r="I434" s="4">
        <v>46038</v>
      </c>
      <c r="J434" s="4"/>
      <c r="K434" s="1" t="s">
        <v>55</v>
      </c>
      <c r="L434" s="7">
        <f t="shared" si="36"/>
        <v>1</v>
      </c>
      <c r="M434" s="7">
        <f t="shared" si="37"/>
        <v>4</v>
      </c>
      <c r="N434" s="7">
        <f t="shared" si="38"/>
        <v>1</v>
      </c>
      <c r="O434" s="7">
        <f t="shared" si="39"/>
        <v>2</v>
      </c>
      <c r="P434" s="7">
        <f t="shared" si="40"/>
        <v>1</v>
      </c>
      <c r="Q434" s="7" t="str">
        <f>IF(K434="Open",Summary!$B$6-B434,"")</f>
        <v/>
      </c>
      <c r="R434" s="7">
        <f>IF(L434=1,IF(M434&lt;=Summary!$B$5,1,0),"")</f>
        <v>1</v>
      </c>
      <c r="S434" s="1" t="str">
        <f t="shared" si="41"/>
        <v>2026-01</v>
      </c>
    </row>
    <row r="435" spans="1:19" ht="23" customHeight="1">
      <c r="A435" s="1" t="s">
        <v>492</v>
      </c>
      <c r="B435" s="4">
        <v>46034</v>
      </c>
      <c r="C435" s="1" t="s">
        <v>19</v>
      </c>
      <c r="D435" s="1" t="s">
        <v>54</v>
      </c>
      <c r="E435" s="5">
        <v>46000</v>
      </c>
      <c r="F435" s="1">
        <v>1</v>
      </c>
      <c r="G435" s="4">
        <v>46041</v>
      </c>
      <c r="H435" s="4">
        <v>46047</v>
      </c>
      <c r="I435" s="4">
        <v>46049</v>
      </c>
      <c r="J435" s="4"/>
      <c r="K435" s="1" t="s">
        <v>55</v>
      </c>
      <c r="L435" s="7">
        <f t="shared" si="36"/>
        <v>1</v>
      </c>
      <c r="M435" s="7">
        <f t="shared" si="37"/>
        <v>15</v>
      </c>
      <c r="N435" s="7">
        <f t="shared" si="38"/>
        <v>7</v>
      </c>
      <c r="O435" s="7">
        <f t="shared" si="39"/>
        <v>6</v>
      </c>
      <c r="P435" s="7">
        <f t="shared" si="40"/>
        <v>2</v>
      </c>
      <c r="Q435" s="7" t="str">
        <f>IF(K435="Open",Summary!$B$6-B435,"")</f>
        <v/>
      </c>
      <c r="R435" s="7">
        <f>IF(L435=1,IF(M435&lt;=Summary!$B$5,1,0),"")</f>
        <v>0</v>
      </c>
      <c r="S435" s="1" t="str">
        <f t="shared" si="41"/>
        <v>2026-01</v>
      </c>
    </row>
    <row r="436" spans="1:19" ht="23" customHeight="1">
      <c r="A436" s="1" t="s">
        <v>493</v>
      </c>
      <c r="B436" s="4">
        <v>46037</v>
      </c>
      <c r="C436" s="1" t="s">
        <v>18</v>
      </c>
      <c r="D436" s="1" t="s">
        <v>65</v>
      </c>
      <c r="E436" s="5">
        <v>36000</v>
      </c>
      <c r="F436" s="1">
        <v>0</v>
      </c>
      <c r="G436" s="4">
        <v>46037</v>
      </c>
      <c r="H436" s="4">
        <v>46039</v>
      </c>
      <c r="I436" s="4">
        <v>46042</v>
      </c>
      <c r="J436" s="4"/>
      <c r="K436" s="1" t="s">
        <v>63</v>
      </c>
      <c r="L436" s="7">
        <f t="shared" si="36"/>
        <v>1</v>
      </c>
      <c r="M436" s="7">
        <f t="shared" si="37"/>
        <v>5</v>
      </c>
      <c r="N436" s="7">
        <f t="shared" si="38"/>
        <v>0</v>
      </c>
      <c r="O436" s="7">
        <f t="shared" si="39"/>
        <v>2</v>
      </c>
      <c r="P436" s="7">
        <f t="shared" si="40"/>
        <v>3</v>
      </c>
      <c r="Q436" s="7" t="str">
        <f>IF(K436="Open",Summary!$B$6-B436,"")</f>
        <v/>
      </c>
      <c r="R436" s="7">
        <f>IF(L436=1,IF(M436&lt;=Summary!$B$5,1,0),"")</f>
        <v>1</v>
      </c>
      <c r="S436" s="1" t="str">
        <f t="shared" si="41"/>
        <v>2026-01</v>
      </c>
    </row>
    <row r="437" spans="1:19" ht="23" customHeight="1">
      <c r="A437" s="1" t="s">
        <v>494</v>
      </c>
      <c r="B437" s="4">
        <v>46046</v>
      </c>
      <c r="C437" s="1" t="s">
        <v>18</v>
      </c>
      <c r="D437" s="1" t="s">
        <v>62</v>
      </c>
      <c r="E437" s="5">
        <v>44000</v>
      </c>
      <c r="F437" s="1">
        <v>0</v>
      </c>
      <c r="G437" s="4">
        <v>46047</v>
      </c>
      <c r="H437" s="4">
        <v>46054</v>
      </c>
      <c r="I437" s="4">
        <v>46057</v>
      </c>
      <c r="J437" s="4"/>
      <c r="K437" s="1" t="s">
        <v>55</v>
      </c>
      <c r="L437" s="7">
        <f t="shared" si="36"/>
        <v>1</v>
      </c>
      <c r="M437" s="7">
        <f t="shared" si="37"/>
        <v>11</v>
      </c>
      <c r="N437" s="7">
        <f t="shared" si="38"/>
        <v>1</v>
      </c>
      <c r="O437" s="7">
        <f t="shared" si="39"/>
        <v>7</v>
      </c>
      <c r="P437" s="7">
        <f t="shared" si="40"/>
        <v>3</v>
      </c>
      <c r="Q437" s="7" t="str">
        <f>IF(K437="Open",Summary!$B$6-B437,"")</f>
        <v/>
      </c>
      <c r="R437" s="7">
        <f>IF(L437=1,IF(M437&lt;=Summary!$B$5,1,0),"")</f>
        <v>0</v>
      </c>
      <c r="S437" s="1" t="str">
        <f t="shared" si="41"/>
        <v>2026-01</v>
      </c>
    </row>
    <row r="438" spans="1:19" ht="23" customHeight="1">
      <c r="A438" s="1" t="s">
        <v>495</v>
      </c>
      <c r="B438" s="4">
        <v>46112</v>
      </c>
      <c r="C438" s="1" t="s">
        <v>18</v>
      </c>
      <c r="D438" s="1" t="s">
        <v>62</v>
      </c>
      <c r="E438" s="5">
        <v>38000</v>
      </c>
      <c r="F438" s="1">
        <v>0</v>
      </c>
      <c r="G438" s="4">
        <v>46112</v>
      </c>
      <c r="H438" s="4"/>
      <c r="I438" s="4"/>
      <c r="J438" s="4"/>
      <c r="K438" s="1" t="s">
        <v>69</v>
      </c>
      <c r="L438" s="7">
        <f t="shared" si="36"/>
        <v>0</v>
      </c>
      <c r="M438" s="7" t="str">
        <f t="shared" si="37"/>
        <v/>
      </c>
      <c r="N438" s="7" t="str">
        <f t="shared" si="38"/>
        <v/>
      </c>
      <c r="O438" s="7" t="str">
        <f t="shared" si="39"/>
        <v/>
      </c>
      <c r="P438" s="7" t="str">
        <f t="shared" si="40"/>
        <v/>
      </c>
      <c r="Q438" s="7">
        <f>IF(K438="Open",Summary!$B$6-B438,"")</f>
        <v>0</v>
      </c>
      <c r="R438" s="7" t="str">
        <f>IF(L438=1,IF(M438&lt;=Summary!$B$5,1,0),"")</f>
        <v/>
      </c>
      <c r="S438" s="1" t="str">
        <f t="shared" si="41"/>
        <v>2026-03</v>
      </c>
    </row>
    <row r="439" spans="1:19" ht="23" customHeight="1">
      <c r="A439" s="1" t="s">
        <v>496</v>
      </c>
      <c r="B439" s="4">
        <v>46105</v>
      </c>
      <c r="C439" s="1" t="s">
        <v>19</v>
      </c>
      <c r="D439" s="1" t="s">
        <v>54</v>
      </c>
      <c r="E439" s="5">
        <v>48000</v>
      </c>
      <c r="F439" s="1">
        <v>1</v>
      </c>
      <c r="G439" s="4"/>
      <c r="H439" s="4"/>
      <c r="I439" s="4"/>
      <c r="J439" s="4"/>
      <c r="K439" s="1" t="s">
        <v>69</v>
      </c>
      <c r="L439" s="7">
        <f t="shared" si="36"/>
        <v>0</v>
      </c>
      <c r="M439" s="7" t="str">
        <f t="shared" si="37"/>
        <v/>
      </c>
      <c r="N439" s="7" t="str">
        <f t="shared" si="38"/>
        <v/>
      </c>
      <c r="O439" s="7" t="str">
        <f t="shared" si="39"/>
        <v/>
      </c>
      <c r="P439" s="7" t="str">
        <f t="shared" si="40"/>
        <v/>
      </c>
      <c r="Q439" s="7">
        <f>IF(K439="Open",Summary!$B$6-B439,"")</f>
        <v>7</v>
      </c>
      <c r="R439" s="7" t="str">
        <f>IF(L439=1,IF(M439&lt;=Summary!$B$5,1,0),"")</f>
        <v/>
      </c>
      <c r="S439" s="1" t="str">
        <f t="shared" si="41"/>
        <v>2026-03</v>
      </c>
    </row>
    <row r="440" spans="1:19" ht="23" customHeight="1">
      <c r="A440" s="1" t="s">
        <v>497</v>
      </c>
      <c r="B440" s="4">
        <v>46098</v>
      </c>
      <c r="C440" s="1" t="s">
        <v>18</v>
      </c>
      <c r="D440" s="1" t="s">
        <v>71</v>
      </c>
      <c r="E440" s="5">
        <v>48000</v>
      </c>
      <c r="F440" s="1">
        <v>0</v>
      </c>
      <c r="G440" s="4">
        <v>46099</v>
      </c>
      <c r="H440" s="4">
        <v>46100</v>
      </c>
      <c r="I440" s="4">
        <v>46103</v>
      </c>
      <c r="J440" s="4"/>
      <c r="K440" s="1" t="s">
        <v>55</v>
      </c>
      <c r="L440" s="7">
        <f t="shared" si="36"/>
        <v>1</v>
      </c>
      <c r="M440" s="7">
        <f t="shared" si="37"/>
        <v>5</v>
      </c>
      <c r="N440" s="7">
        <f t="shared" si="38"/>
        <v>1</v>
      </c>
      <c r="O440" s="7">
        <f t="shared" si="39"/>
        <v>1</v>
      </c>
      <c r="P440" s="7">
        <f t="shared" si="40"/>
        <v>3</v>
      </c>
      <c r="Q440" s="7" t="str">
        <f>IF(K440="Open",Summary!$B$6-B440,"")</f>
        <v/>
      </c>
      <c r="R440" s="7">
        <f>IF(L440=1,IF(M440&lt;=Summary!$B$5,1,0),"")</f>
        <v>1</v>
      </c>
      <c r="S440" s="1" t="str">
        <f t="shared" si="41"/>
        <v>2026-03</v>
      </c>
    </row>
    <row r="441" spans="1:19" ht="23" customHeight="1">
      <c r="A441" s="1" t="s">
        <v>498</v>
      </c>
      <c r="B441" s="4">
        <v>46101</v>
      </c>
      <c r="C441" s="1" t="s">
        <v>18</v>
      </c>
      <c r="D441" s="1" t="s">
        <v>62</v>
      </c>
      <c r="E441" s="5">
        <v>26000</v>
      </c>
      <c r="F441" s="1">
        <v>0</v>
      </c>
      <c r="G441" s="4">
        <v>46103</v>
      </c>
      <c r="H441" s="4">
        <v>46111</v>
      </c>
      <c r="I441" s="4">
        <v>46112</v>
      </c>
      <c r="J441" s="4"/>
      <c r="K441" s="1" t="s">
        <v>55</v>
      </c>
      <c r="L441" s="7">
        <f t="shared" si="36"/>
        <v>1</v>
      </c>
      <c r="M441" s="7">
        <f t="shared" si="37"/>
        <v>11</v>
      </c>
      <c r="N441" s="7">
        <f t="shared" si="38"/>
        <v>2</v>
      </c>
      <c r="O441" s="7">
        <f t="shared" si="39"/>
        <v>8</v>
      </c>
      <c r="P441" s="7">
        <f t="shared" si="40"/>
        <v>1</v>
      </c>
      <c r="Q441" s="7" t="str">
        <f>IF(K441="Open",Summary!$B$6-B441,"")</f>
        <v/>
      </c>
      <c r="R441" s="7">
        <f>IF(L441=1,IF(M441&lt;=Summary!$B$5,1,0),"")</f>
        <v>0</v>
      </c>
      <c r="S441" s="1" t="str">
        <f t="shared" si="41"/>
        <v>2026-03</v>
      </c>
    </row>
    <row r="442" spans="1:19" ht="23" customHeight="1">
      <c r="A442" s="1" t="s">
        <v>499</v>
      </c>
      <c r="B442" s="4">
        <v>46039</v>
      </c>
      <c r="C442" s="1" t="s">
        <v>18</v>
      </c>
      <c r="D442" s="1" t="s">
        <v>65</v>
      </c>
      <c r="E442" s="5">
        <v>44000</v>
      </c>
      <c r="F442" s="1">
        <v>0</v>
      </c>
      <c r="G442" s="4">
        <v>46039</v>
      </c>
      <c r="H442" s="4">
        <v>46041</v>
      </c>
      <c r="I442" s="4">
        <v>46043</v>
      </c>
      <c r="J442" s="4"/>
      <c r="K442" s="1" t="s">
        <v>63</v>
      </c>
      <c r="L442" s="7">
        <f t="shared" si="36"/>
        <v>1</v>
      </c>
      <c r="M442" s="7">
        <f t="shared" si="37"/>
        <v>4</v>
      </c>
      <c r="N442" s="7">
        <f t="shared" si="38"/>
        <v>0</v>
      </c>
      <c r="O442" s="7">
        <f t="shared" si="39"/>
        <v>2</v>
      </c>
      <c r="P442" s="7">
        <f t="shared" si="40"/>
        <v>2</v>
      </c>
      <c r="Q442" s="7" t="str">
        <f>IF(K442="Open",Summary!$B$6-B442,"")</f>
        <v/>
      </c>
      <c r="R442" s="7">
        <f>IF(L442=1,IF(M442&lt;=Summary!$B$5,1,0),"")</f>
        <v>1</v>
      </c>
      <c r="S442" s="1" t="str">
        <f t="shared" si="41"/>
        <v>2026-01</v>
      </c>
    </row>
    <row r="443" spans="1:19" ht="23" customHeight="1">
      <c r="A443" s="1" t="s">
        <v>500</v>
      </c>
      <c r="B443" s="4">
        <v>46042</v>
      </c>
      <c r="C443" s="1" t="s">
        <v>18</v>
      </c>
      <c r="D443" s="1" t="s">
        <v>71</v>
      </c>
      <c r="E443" s="5">
        <v>48000</v>
      </c>
      <c r="F443" s="1">
        <v>1</v>
      </c>
      <c r="G443" s="4"/>
      <c r="H443" s="4"/>
      <c r="I443" s="4"/>
      <c r="J443" s="4">
        <v>46046</v>
      </c>
      <c r="K443" s="1" t="s">
        <v>86</v>
      </c>
      <c r="L443" s="7">
        <f t="shared" si="36"/>
        <v>0</v>
      </c>
      <c r="M443" s="7" t="str">
        <f t="shared" si="37"/>
        <v/>
      </c>
      <c r="N443" s="7" t="str">
        <f t="shared" si="38"/>
        <v/>
      </c>
      <c r="O443" s="7" t="str">
        <f t="shared" si="39"/>
        <v/>
      </c>
      <c r="P443" s="7" t="str">
        <f t="shared" si="40"/>
        <v/>
      </c>
      <c r="Q443" s="7" t="str">
        <f>IF(K443="Open",Summary!$B$6-B443,"")</f>
        <v/>
      </c>
      <c r="R443" s="7" t="str">
        <f>IF(L443=1,IF(M443&lt;=Summary!$B$5,1,0),"")</f>
        <v/>
      </c>
      <c r="S443" s="1" t="str">
        <f t="shared" si="41"/>
        <v>2026-01</v>
      </c>
    </row>
    <row r="444" spans="1:19" ht="23" customHeight="1">
      <c r="A444" s="1" t="s">
        <v>501</v>
      </c>
      <c r="B444" s="4">
        <v>46105</v>
      </c>
      <c r="C444" s="1" t="s">
        <v>19</v>
      </c>
      <c r="D444" s="1" t="s">
        <v>54</v>
      </c>
      <c r="E444" s="5">
        <v>22000</v>
      </c>
      <c r="F444" s="1">
        <v>0</v>
      </c>
      <c r="G444" s="4">
        <v>46106</v>
      </c>
      <c r="H444" s="4">
        <v>46109</v>
      </c>
      <c r="I444" s="4">
        <v>46110</v>
      </c>
      <c r="J444" s="4"/>
      <c r="K444" s="1" t="s">
        <v>55</v>
      </c>
      <c r="L444" s="7">
        <f t="shared" si="36"/>
        <v>1</v>
      </c>
      <c r="M444" s="7">
        <f t="shared" si="37"/>
        <v>5</v>
      </c>
      <c r="N444" s="7">
        <f t="shared" si="38"/>
        <v>1</v>
      </c>
      <c r="O444" s="7">
        <f t="shared" si="39"/>
        <v>3</v>
      </c>
      <c r="P444" s="7">
        <f t="shared" si="40"/>
        <v>1</v>
      </c>
      <c r="Q444" s="7" t="str">
        <f>IF(K444="Open",Summary!$B$6-B444,"")</f>
        <v/>
      </c>
      <c r="R444" s="7">
        <f>IF(L444=1,IF(M444&lt;=Summary!$B$5,1,0),"")</f>
        <v>1</v>
      </c>
      <c r="S444" s="1" t="str">
        <f t="shared" si="41"/>
        <v>2026-03</v>
      </c>
    </row>
    <row r="445" spans="1:19" ht="23" customHeight="1">
      <c r="A445" s="1" t="s">
        <v>502</v>
      </c>
      <c r="B445" s="4">
        <v>46080</v>
      </c>
      <c r="C445" s="1" t="s">
        <v>18</v>
      </c>
      <c r="D445" s="1" t="s">
        <v>71</v>
      </c>
      <c r="E445" s="5">
        <v>16000</v>
      </c>
      <c r="F445" s="1">
        <v>0</v>
      </c>
      <c r="G445" s="4">
        <v>46080</v>
      </c>
      <c r="H445" s="4">
        <v>46084</v>
      </c>
      <c r="I445" s="4">
        <v>46087</v>
      </c>
      <c r="J445" s="4"/>
      <c r="K445" s="1" t="s">
        <v>63</v>
      </c>
      <c r="L445" s="7">
        <f t="shared" si="36"/>
        <v>1</v>
      </c>
      <c r="M445" s="7">
        <f t="shared" si="37"/>
        <v>7</v>
      </c>
      <c r="N445" s="7">
        <f t="shared" si="38"/>
        <v>0</v>
      </c>
      <c r="O445" s="7">
        <f t="shared" si="39"/>
        <v>4</v>
      </c>
      <c r="P445" s="7">
        <f t="shared" si="40"/>
        <v>3</v>
      </c>
      <c r="Q445" s="7" t="str">
        <f>IF(K445="Open",Summary!$B$6-B445,"")</f>
        <v/>
      </c>
      <c r="R445" s="7">
        <f>IF(L445=1,IF(M445&lt;=Summary!$B$5,1,0),"")</f>
        <v>1</v>
      </c>
      <c r="S445" s="1" t="str">
        <f t="shared" si="41"/>
        <v>2026-02</v>
      </c>
    </row>
    <row r="446" spans="1:19" ht="23" customHeight="1">
      <c r="A446" s="1" t="s">
        <v>503</v>
      </c>
      <c r="B446" s="4">
        <v>46065</v>
      </c>
      <c r="C446" s="1" t="s">
        <v>19</v>
      </c>
      <c r="D446" s="1" t="s">
        <v>54</v>
      </c>
      <c r="E446" s="5">
        <v>28000</v>
      </c>
      <c r="F446" s="1">
        <v>0</v>
      </c>
      <c r="G446" s="4">
        <v>46067</v>
      </c>
      <c r="H446" s="4">
        <v>46072</v>
      </c>
      <c r="I446" s="4">
        <v>46074</v>
      </c>
      <c r="J446" s="4"/>
      <c r="K446" s="1" t="s">
        <v>55</v>
      </c>
      <c r="L446" s="7">
        <f t="shared" si="36"/>
        <v>1</v>
      </c>
      <c r="M446" s="7">
        <f t="shared" si="37"/>
        <v>9</v>
      </c>
      <c r="N446" s="7">
        <f t="shared" si="38"/>
        <v>2</v>
      </c>
      <c r="O446" s="7">
        <f t="shared" si="39"/>
        <v>5</v>
      </c>
      <c r="P446" s="7">
        <f t="shared" si="40"/>
        <v>2</v>
      </c>
      <c r="Q446" s="7" t="str">
        <f>IF(K446="Open",Summary!$B$6-B446,"")</f>
        <v/>
      </c>
      <c r="R446" s="7">
        <f>IF(L446=1,IF(M446&lt;=Summary!$B$5,1,0),"")</f>
        <v>0</v>
      </c>
      <c r="S446" s="1" t="str">
        <f t="shared" si="41"/>
        <v>2026-02</v>
      </c>
    </row>
    <row r="447" spans="1:19" ht="23" customHeight="1">
      <c r="A447" s="1" t="s">
        <v>504</v>
      </c>
      <c r="B447" s="4">
        <v>46032</v>
      </c>
      <c r="C447" s="1" t="s">
        <v>18</v>
      </c>
      <c r="D447" s="1" t="s">
        <v>59</v>
      </c>
      <c r="E447" s="5">
        <v>41000</v>
      </c>
      <c r="F447" s="1">
        <v>1</v>
      </c>
      <c r="G447" s="4">
        <v>46040</v>
      </c>
      <c r="H447" s="4">
        <v>46042</v>
      </c>
      <c r="I447" s="4">
        <v>46045</v>
      </c>
      <c r="J447" s="4"/>
      <c r="K447" s="1" t="s">
        <v>63</v>
      </c>
      <c r="L447" s="7">
        <f t="shared" si="36"/>
        <v>1</v>
      </c>
      <c r="M447" s="7">
        <f t="shared" si="37"/>
        <v>13</v>
      </c>
      <c r="N447" s="7">
        <f t="shared" si="38"/>
        <v>8</v>
      </c>
      <c r="O447" s="7">
        <f t="shared" si="39"/>
        <v>2</v>
      </c>
      <c r="P447" s="7">
        <f t="shared" si="40"/>
        <v>3</v>
      </c>
      <c r="Q447" s="7" t="str">
        <f>IF(K447="Open",Summary!$B$6-B447,"")</f>
        <v/>
      </c>
      <c r="R447" s="7">
        <f>IF(L447=1,IF(M447&lt;=Summary!$B$5,1,0),"")</f>
        <v>0</v>
      </c>
      <c r="S447" s="1" t="str">
        <f t="shared" si="41"/>
        <v>2026-01</v>
      </c>
    </row>
    <row r="448" spans="1:19" ht="23" customHeight="1">
      <c r="A448" s="1" t="s">
        <v>505</v>
      </c>
      <c r="B448" s="4">
        <v>46050</v>
      </c>
      <c r="C448" s="1" t="s">
        <v>18</v>
      </c>
      <c r="D448" s="1" t="s">
        <v>71</v>
      </c>
      <c r="E448" s="5">
        <v>41000</v>
      </c>
      <c r="F448" s="1">
        <v>0</v>
      </c>
      <c r="G448" s="4">
        <v>46051</v>
      </c>
      <c r="H448" s="4">
        <v>46053</v>
      </c>
      <c r="I448" s="4">
        <v>46056</v>
      </c>
      <c r="J448" s="4"/>
      <c r="K448" s="1" t="s">
        <v>55</v>
      </c>
      <c r="L448" s="7">
        <f t="shared" si="36"/>
        <v>1</v>
      </c>
      <c r="M448" s="7">
        <f t="shared" si="37"/>
        <v>6</v>
      </c>
      <c r="N448" s="7">
        <f t="shared" si="38"/>
        <v>1</v>
      </c>
      <c r="O448" s="7">
        <f t="shared" si="39"/>
        <v>2</v>
      </c>
      <c r="P448" s="7">
        <f t="shared" si="40"/>
        <v>3</v>
      </c>
      <c r="Q448" s="7" t="str">
        <f>IF(K448="Open",Summary!$B$6-B448,"")</f>
        <v/>
      </c>
      <c r="R448" s="7">
        <f>IF(L448=1,IF(M448&lt;=Summary!$B$5,1,0),"")</f>
        <v>1</v>
      </c>
      <c r="S448" s="1" t="str">
        <f t="shared" si="41"/>
        <v>2026-01</v>
      </c>
    </row>
    <row r="449" spans="1:19" ht="23" customHeight="1">
      <c r="A449" s="1" t="s">
        <v>506</v>
      </c>
      <c r="B449" s="4">
        <v>46091</v>
      </c>
      <c r="C449" s="1" t="s">
        <v>19</v>
      </c>
      <c r="D449" s="1" t="s">
        <v>54</v>
      </c>
      <c r="E449" s="5">
        <v>10000</v>
      </c>
      <c r="F449" s="1">
        <v>1</v>
      </c>
      <c r="G449" s="4"/>
      <c r="H449" s="4"/>
      <c r="I449" s="4"/>
      <c r="J449" s="4">
        <v>46101</v>
      </c>
      <c r="K449" s="1" t="s">
        <v>86</v>
      </c>
      <c r="L449" s="7">
        <f t="shared" si="36"/>
        <v>0</v>
      </c>
      <c r="M449" s="7" t="str">
        <f t="shared" si="37"/>
        <v/>
      </c>
      <c r="N449" s="7" t="str">
        <f t="shared" si="38"/>
        <v/>
      </c>
      <c r="O449" s="7" t="str">
        <f t="shared" si="39"/>
        <v/>
      </c>
      <c r="P449" s="7" t="str">
        <f t="shared" si="40"/>
        <v/>
      </c>
      <c r="Q449" s="7" t="str">
        <f>IF(K449="Open",Summary!$B$6-B449,"")</f>
        <v/>
      </c>
      <c r="R449" s="7" t="str">
        <f>IF(L449=1,IF(M449&lt;=Summary!$B$5,1,0),"")</f>
        <v/>
      </c>
      <c r="S449" s="1" t="str">
        <f t="shared" si="41"/>
        <v>2026-03</v>
      </c>
    </row>
    <row r="450" spans="1:19" ht="23" customHeight="1">
      <c r="A450" s="1" t="s">
        <v>507</v>
      </c>
      <c r="B450" s="4">
        <v>46050</v>
      </c>
      <c r="C450" s="1" t="s">
        <v>19</v>
      </c>
      <c r="D450" s="1" t="s">
        <v>54</v>
      </c>
      <c r="E450" s="5">
        <v>49000</v>
      </c>
      <c r="F450" s="1">
        <v>0</v>
      </c>
      <c r="G450" s="4">
        <v>46050</v>
      </c>
      <c r="H450" s="4">
        <v>46052</v>
      </c>
      <c r="I450" s="4">
        <v>46053</v>
      </c>
      <c r="J450" s="4"/>
      <c r="K450" s="1" t="s">
        <v>55</v>
      </c>
      <c r="L450" s="7">
        <f t="shared" si="36"/>
        <v>1</v>
      </c>
      <c r="M450" s="7">
        <f t="shared" si="37"/>
        <v>3</v>
      </c>
      <c r="N450" s="7">
        <f t="shared" si="38"/>
        <v>0</v>
      </c>
      <c r="O450" s="7">
        <f t="shared" si="39"/>
        <v>2</v>
      </c>
      <c r="P450" s="7">
        <f t="shared" si="40"/>
        <v>1</v>
      </c>
      <c r="Q450" s="7" t="str">
        <f>IF(K450="Open",Summary!$B$6-B450,"")</f>
        <v/>
      </c>
      <c r="R450" s="7">
        <f>IF(L450=1,IF(M450&lt;=Summary!$B$5,1,0),"")</f>
        <v>1</v>
      </c>
      <c r="S450" s="1" t="str">
        <f t="shared" si="41"/>
        <v>2026-01</v>
      </c>
    </row>
    <row r="451" spans="1:19" ht="23" customHeight="1">
      <c r="A451" s="1" t="s">
        <v>508</v>
      </c>
      <c r="B451" s="4">
        <v>46044</v>
      </c>
      <c r="C451" s="1" t="s">
        <v>18</v>
      </c>
      <c r="D451" s="1" t="s">
        <v>71</v>
      </c>
      <c r="E451" s="5">
        <v>15000</v>
      </c>
      <c r="F451" s="1">
        <v>0</v>
      </c>
      <c r="G451" s="4">
        <v>46044</v>
      </c>
      <c r="H451" s="4">
        <v>46045</v>
      </c>
      <c r="I451" s="4">
        <v>46048</v>
      </c>
      <c r="J451" s="4"/>
      <c r="K451" s="1" t="s">
        <v>63</v>
      </c>
      <c r="L451" s="7">
        <f t="shared" si="36"/>
        <v>1</v>
      </c>
      <c r="M451" s="7">
        <f t="shared" si="37"/>
        <v>4</v>
      </c>
      <c r="N451" s="7">
        <f t="shared" si="38"/>
        <v>0</v>
      </c>
      <c r="O451" s="7">
        <f t="shared" si="39"/>
        <v>1</v>
      </c>
      <c r="P451" s="7">
        <f t="shared" si="40"/>
        <v>3</v>
      </c>
      <c r="Q451" s="7" t="str">
        <f>IF(K451="Open",Summary!$B$6-B451,"")</f>
        <v/>
      </c>
      <c r="R451" s="7">
        <f>IF(L451=1,IF(M451&lt;=Summary!$B$5,1,0),"")</f>
        <v>1</v>
      </c>
      <c r="S451" s="1" t="str">
        <f t="shared" si="41"/>
        <v>2026-01</v>
      </c>
    </row>
    <row r="452" spans="1:19" ht="23" customHeight="1">
      <c r="A452" s="1" t="s">
        <v>509</v>
      </c>
      <c r="B452" s="4">
        <v>46027</v>
      </c>
      <c r="C452" s="1" t="s">
        <v>18</v>
      </c>
      <c r="D452" s="1" t="s">
        <v>65</v>
      </c>
      <c r="E452" s="5">
        <v>41000</v>
      </c>
      <c r="F452" s="1">
        <v>0</v>
      </c>
      <c r="G452" s="4">
        <v>46027</v>
      </c>
      <c r="H452" s="4">
        <v>46029</v>
      </c>
      <c r="I452" s="4">
        <v>46032</v>
      </c>
      <c r="J452" s="4"/>
      <c r="K452" s="1" t="s">
        <v>63</v>
      </c>
      <c r="L452" s="7">
        <f t="shared" si="36"/>
        <v>1</v>
      </c>
      <c r="M452" s="7">
        <f t="shared" si="37"/>
        <v>5</v>
      </c>
      <c r="N452" s="7">
        <f t="shared" si="38"/>
        <v>0</v>
      </c>
      <c r="O452" s="7">
        <f t="shared" si="39"/>
        <v>2</v>
      </c>
      <c r="P452" s="7">
        <f t="shared" si="40"/>
        <v>3</v>
      </c>
      <c r="Q452" s="7" t="str">
        <f>IF(K452="Open",Summary!$B$6-B452,"")</f>
        <v/>
      </c>
      <c r="R452" s="7">
        <f>IF(L452=1,IF(M452&lt;=Summary!$B$5,1,0),"")</f>
        <v>1</v>
      </c>
      <c r="S452" s="1" t="str">
        <f t="shared" si="41"/>
        <v>2026-01</v>
      </c>
    </row>
    <row r="453" spans="1:19" ht="23" customHeight="1">
      <c r="A453" s="1" t="s">
        <v>510</v>
      </c>
      <c r="B453" s="4">
        <v>46091</v>
      </c>
      <c r="C453" s="1" t="s">
        <v>19</v>
      </c>
      <c r="D453" s="1" t="s">
        <v>54</v>
      </c>
      <c r="E453" s="5">
        <v>31000</v>
      </c>
      <c r="F453" s="1">
        <v>0</v>
      </c>
      <c r="G453" s="4">
        <v>46092</v>
      </c>
      <c r="H453" s="4">
        <v>46095</v>
      </c>
      <c r="I453" s="4">
        <v>46098</v>
      </c>
      <c r="J453" s="4"/>
      <c r="K453" s="1" t="s">
        <v>55</v>
      </c>
      <c r="L453" s="7">
        <f t="shared" ref="L453:L516" si="42">IF(OR(K453="Approved",K453="Declined"),1,0)</f>
        <v>1</v>
      </c>
      <c r="M453" s="7">
        <f t="shared" ref="M453:M516" si="43">IF(L453=1,I453-B453,"")</f>
        <v>7</v>
      </c>
      <c r="N453" s="7">
        <f t="shared" ref="N453:N516" si="44">IF(L453=1,G453-B453,"")</f>
        <v>1</v>
      </c>
      <c r="O453" s="7">
        <f t="shared" ref="O453:O516" si="45">IF(L453=1,H453-G453,"")</f>
        <v>3</v>
      </c>
      <c r="P453" s="7">
        <f t="shared" ref="P453:P516" si="46">IF(L453=1,I453-H453,"")</f>
        <v>3</v>
      </c>
      <c r="Q453" s="7" t="str">
        <f>IF(K453="Open",Summary!$B$6-B453,"")</f>
        <v/>
      </c>
      <c r="R453" s="7">
        <f>IF(L453=1,IF(M453&lt;=Summary!$B$5,1,0),"")</f>
        <v>1</v>
      </c>
      <c r="S453" s="1" t="str">
        <f t="shared" ref="S453:S516" si="47">TEXT(B453,"yyyy-mm")</f>
        <v>2026-03</v>
      </c>
    </row>
    <row r="454" spans="1:19" ht="23" customHeight="1">
      <c r="A454" s="1" t="s">
        <v>511</v>
      </c>
      <c r="B454" s="4">
        <v>46039</v>
      </c>
      <c r="C454" s="1" t="s">
        <v>19</v>
      </c>
      <c r="D454" s="1" t="s">
        <v>54</v>
      </c>
      <c r="E454" s="5">
        <v>9000</v>
      </c>
      <c r="F454" s="1">
        <v>0</v>
      </c>
      <c r="G454" s="4">
        <v>46040</v>
      </c>
      <c r="H454" s="4">
        <v>46042</v>
      </c>
      <c r="I454" s="4">
        <v>46043</v>
      </c>
      <c r="J454" s="4"/>
      <c r="K454" s="1" t="s">
        <v>63</v>
      </c>
      <c r="L454" s="7">
        <f t="shared" si="42"/>
        <v>1</v>
      </c>
      <c r="M454" s="7">
        <f t="shared" si="43"/>
        <v>4</v>
      </c>
      <c r="N454" s="7">
        <f t="shared" si="44"/>
        <v>1</v>
      </c>
      <c r="O454" s="7">
        <f t="shared" si="45"/>
        <v>2</v>
      </c>
      <c r="P454" s="7">
        <f t="shared" si="46"/>
        <v>1</v>
      </c>
      <c r="Q454" s="7" t="str">
        <f>IF(K454="Open",Summary!$B$6-B454,"")</f>
        <v/>
      </c>
      <c r="R454" s="7">
        <f>IF(L454=1,IF(M454&lt;=Summary!$B$5,1,0),"")</f>
        <v>1</v>
      </c>
      <c r="S454" s="1" t="str">
        <f t="shared" si="47"/>
        <v>2026-01</v>
      </c>
    </row>
    <row r="455" spans="1:19" ht="23" customHeight="1">
      <c r="A455" s="1" t="s">
        <v>512</v>
      </c>
      <c r="B455" s="4">
        <v>46030</v>
      </c>
      <c r="C455" s="1" t="s">
        <v>19</v>
      </c>
      <c r="D455" s="1" t="s">
        <v>54</v>
      </c>
      <c r="E455" s="5">
        <v>21000</v>
      </c>
      <c r="F455" s="1">
        <v>0</v>
      </c>
      <c r="G455" s="4">
        <v>46032</v>
      </c>
      <c r="H455" s="4">
        <v>46038</v>
      </c>
      <c r="I455" s="4">
        <v>46040</v>
      </c>
      <c r="J455" s="4"/>
      <c r="K455" s="1" t="s">
        <v>63</v>
      </c>
      <c r="L455" s="7">
        <f t="shared" si="42"/>
        <v>1</v>
      </c>
      <c r="M455" s="7">
        <f t="shared" si="43"/>
        <v>10</v>
      </c>
      <c r="N455" s="7">
        <f t="shared" si="44"/>
        <v>2</v>
      </c>
      <c r="O455" s="7">
        <f t="shared" si="45"/>
        <v>6</v>
      </c>
      <c r="P455" s="7">
        <f t="shared" si="46"/>
        <v>2</v>
      </c>
      <c r="Q455" s="7" t="str">
        <f>IF(K455="Open",Summary!$B$6-B455,"")</f>
        <v/>
      </c>
      <c r="R455" s="7">
        <f>IF(L455=1,IF(M455&lt;=Summary!$B$5,1,0),"")</f>
        <v>0</v>
      </c>
      <c r="S455" s="1" t="str">
        <f t="shared" si="47"/>
        <v>2026-01</v>
      </c>
    </row>
    <row r="456" spans="1:19" ht="23" customHeight="1">
      <c r="A456" s="1" t="s">
        <v>513</v>
      </c>
      <c r="B456" s="4">
        <v>46109</v>
      </c>
      <c r="C456" s="1" t="s">
        <v>18</v>
      </c>
      <c r="D456" s="1" t="s">
        <v>65</v>
      </c>
      <c r="E456" s="5">
        <v>22000</v>
      </c>
      <c r="F456" s="1">
        <v>1</v>
      </c>
      <c r="G456" s="4"/>
      <c r="H456" s="4"/>
      <c r="I456" s="4"/>
      <c r="J456" s="4"/>
      <c r="K456" s="1" t="s">
        <v>69</v>
      </c>
      <c r="L456" s="7">
        <f t="shared" si="42"/>
        <v>0</v>
      </c>
      <c r="M456" s="7" t="str">
        <f t="shared" si="43"/>
        <v/>
      </c>
      <c r="N456" s="7" t="str">
        <f t="shared" si="44"/>
        <v/>
      </c>
      <c r="O456" s="7" t="str">
        <f t="shared" si="45"/>
        <v/>
      </c>
      <c r="P456" s="7" t="str">
        <f t="shared" si="46"/>
        <v/>
      </c>
      <c r="Q456" s="7">
        <f>IF(K456="Open",Summary!$B$6-B456,"")</f>
        <v>3</v>
      </c>
      <c r="R456" s="7" t="str">
        <f>IF(L456=1,IF(M456&lt;=Summary!$B$5,1,0),"")</f>
        <v/>
      </c>
      <c r="S456" s="1" t="str">
        <f t="shared" si="47"/>
        <v>2026-03</v>
      </c>
    </row>
    <row r="457" spans="1:19" ht="23" customHeight="1">
      <c r="A457" s="1" t="s">
        <v>514</v>
      </c>
      <c r="B457" s="4">
        <v>46024</v>
      </c>
      <c r="C457" s="1" t="s">
        <v>18</v>
      </c>
      <c r="D457" s="1" t="s">
        <v>65</v>
      </c>
      <c r="E457" s="5">
        <v>7000</v>
      </c>
      <c r="F457" s="1">
        <v>0</v>
      </c>
      <c r="G457" s="4">
        <v>46025</v>
      </c>
      <c r="H457" s="4">
        <v>46028</v>
      </c>
      <c r="I457" s="4">
        <v>46029</v>
      </c>
      <c r="J457" s="4"/>
      <c r="K457" s="1" t="s">
        <v>55</v>
      </c>
      <c r="L457" s="7">
        <f t="shared" si="42"/>
        <v>1</v>
      </c>
      <c r="M457" s="7">
        <f t="shared" si="43"/>
        <v>5</v>
      </c>
      <c r="N457" s="7">
        <f t="shared" si="44"/>
        <v>1</v>
      </c>
      <c r="O457" s="7">
        <f t="shared" si="45"/>
        <v>3</v>
      </c>
      <c r="P457" s="7">
        <f t="shared" si="46"/>
        <v>1</v>
      </c>
      <c r="Q457" s="7" t="str">
        <f>IF(K457="Open",Summary!$B$6-B457,"")</f>
        <v/>
      </c>
      <c r="R457" s="7">
        <f>IF(L457=1,IF(M457&lt;=Summary!$B$5,1,0),"")</f>
        <v>1</v>
      </c>
      <c r="S457" s="1" t="str">
        <f t="shared" si="47"/>
        <v>2026-01</v>
      </c>
    </row>
    <row r="458" spans="1:19" ht="23" customHeight="1">
      <c r="A458" s="1" t="s">
        <v>515</v>
      </c>
      <c r="B458" s="4">
        <v>46025</v>
      </c>
      <c r="C458" s="1" t="s">
        <v>18</v>
      </c>
      <c r="D458" s="1" t="s">
        <v>65</v>
      </c>
      <c r="E458" s="5">
        <v>8000</v>
      </c>
      <c r="F458" s="1">
        <v>0</v>
      </c>
      <c r="G458" s="4">
        <v>46027</v>
      </c>
      <c r="H458" s="4">
        <v>46028</v>
      </c>
      <c r="I458" s="4">
        <v>46031</v>
      </c>
      <c r="J458" s="4"/>
      <c r="K458" s="1" t="s">
        <v>55</v>
      </c>
      <c r="L458" s="7">
        <f t="shared" si="42"/>
        <v>1</v>
      </c>
      <c r="M458" s="7">
        <f t="shared" si="43"/>
        <v>6</v>
      </c>
      <c r="N458" s="7">
        <f t="shared" si="44"/>
        <v>2</v>
      </c>
      <c r="O458" s="7">
        <f t="shared" si="45"/>
        <v>1</v>
      </c>
      <c r="P458" s="7">
        <f t="shared" si="46"/>
        <v>3</v>
      </c>
      <c r="Q458" s="7" t="str">
        <f>IF(K458="Open",Summary!$B$6-B458,"")</f>
        <v/>
      </c>
      <c r="R458" s="7">
        <f>IF(L458=1,IF(M458&lt;=Summary!$B$5,1,0),"")</f>
        <v>1</v>
      </c>
      <c r="S458" s="1" t="str">
        <f t="shared" si="47"/>
        <v>2026-01</v>
      </c>
    </row>
    <row r="459" spans="1:19" ht="23" customHeight="1">
      <c r="A459" s="1" t="s">
        <v>516</v>
      </c>
      <c r="B459" s="4">
        <v>46042</v>
      </c>
      <c r="C459" s="1" t="s">
        <v>19</v>
      </c>
      <c r="D459" s="1" t="s">
        <v>54</v>
      </c>
      <c r="E459" s="5">
        <v>50000</v>
      </c>
      <c r="F459" s="1">
        <v>0</v>
      </c>
      <c r="G459" s="4">
        <v>46044</v>
      </c>
      <c r="H459" s="4">
        <v>46048</v>
      </c>
      <c r="I459" s="4">
        <v>46050</v>
      </c>
      <c r="J459" s="4"/>
      <c r="K459" s="1" t="s">
        <v>55</v>
      </c>
      <c r="L459" s="7">
        <f t="shared" si="42"/>
        <v>1</v>
      </c>
      <c r="M459" s="7">
        <f t="shared" si="43"/>
        <v>8</v>
      </c>
      <c r="N459" s="7">
        <f t="shared" si="44"/>
        <v>2</v>
      </c>
      <c r="O459" s="7">
        <f t="shared" si="45"/>
        <v>4</v>
      </c>
      <c r="P459" s="7">
        <f t="shared" si="46"/>
        <v>2</v>
      </c>
      <c r="Q459" s="7" t="str">
        <f>IF(K459="Open",Summary!$B$6-B459,"")</f>
        <v/>
      </c>
      <c r="R459" s="7">
        <f>IF(L459=1,IF(M459&lt;=Summary!$B$5,1,0),"")</f>
        <v>0</v>
      </c>
      <c r="S459" s="1" t="str">
        <f t="shared" si="47"/>
        <v>2026-01</v>
      </c>
    </row>
    <row r="460" spans="1:19" ht="23" customHeight="1">
      <c r="A460" s="1" t="s">
        <v>517</v>
      </c>
      <c r="B460" s="4">
        <v>46051</v>
      </c>
      <c r="C460" s="1" t="s">
        <v>18</v>
      </c>
      <c r="D460" s="1" t="s">
        <v>62</v>
      </c>
      <c r="E460" s="5">
        <v>18000</v>
      </c>
      <c r="F460" s="1">
        <v>1</v>
      </c>
      <c r="G460" s="4">
        <v>46057</v>
      </c>
      <c r="H460" s="4">
        <v>46060</v>
      </c>
      <c r="I460" s="4">
        <v>46061</v>
      </c>
      <c r="J460" s="4"/>
      <c r="K460" s="1" t="s">
        <v>55</v>
      </c>
      <c r="L460" s="7">
        <f t="shared" si="42"/>
        <v>1</v>
      </c>
      <c r="M460" s="7">
        <f t="shared" si="43"/>
        <v>10</v>
      </c>
      <c r="N460" s="7">
        <f t="shared" si="44"/>
        <v>6</v>
      </c>
      <c r="O460" s="7">
        <f t="shared" si="45"/>
        <v>3</v>
      </c>
      <c r="P460" s="7">
        <f t="shared" si="46"/>
        <v>1</v>
      </c>
      <c r="Q460" s="7" t="str">
        <f>IF(K460="Open",Summary!$B$6-B460,"")</f>
        <v/>
      </c>
      <c r="R460" s="7">
        <f>IF(L460=1,IF(M460&lt;=Summary!$B$5,1,0),"")</f>
        <v>0</v>
      </c>
      <c r="S460" s="1" t="str">
        <f t="shared" si="47"/>
        <v>2026-01</v>
      </c>
    </row>
    <row r="461" spans="1:19" ht="23" customHeight="1">
      <c r="A461" s="1" t="s">
        <v>518</v>
      </c>
      <c r="B461" s="4">
        <v>46074</v>
      </c>
      <c r="C461" s="1" t="s">
        <v>19</v>
      </c>
      <c r="D461" s="1" t="s">
        <v>54</v>
      </c>
      <c r="E461" s="5">
        <v>43000</v>
      </c>
      <c r="F461" s="1">
        <v>0</v>
      </c>
      <c r="G461" s="4">
        <v>46076</v>
      </c>
      <c r="H461" s="4">
        <v>46078</v>
      </c>
      <c r="I461" s="4">
        <v>46079</v>
      </c>
      <c r="J461" s="4"/>
      <c r="K461" s="1" t="s">
        <v>55</v>
      </c>
      <c r="L461" s="7">
        <f t="shared" si="42"/>
        <v>1</v>
      </c>
      <c r="M461" s="7">
        <f t="shared" si="43"/>
        <v>5</v>
      </c>
      <c r="N461" s="7">
        <f t="shared" si="44"/>
        <v>2</v>
      </c>
      <c r="O461" s="7">
        <f t="shared" si="45"/>
        <v>2</v>
      </c>
      <c r="P461" s="7">
        <f t="shared" si="46"/>
        <v>1</v>
      </c>
      <c r="Q461" s="7" t="str">
        <f>IF(K461="Open",Summary!$B$6-B461,"")</f>
        <v/>
      </c>
      <c r="R461" s="7">
        <f>IF(L461=1,IF(M461&lt;=Summary!$B$5,1,0),"")</f>
        <v>1</v>
      </c>
      <c r="S461" s="1" t="str">
        <f t="shared" si="47"/>
        <v>2026-02</v>
      </c>
    </row>
    <row r="462" spans="1:19" ht="23" customHeight="1">
      <c r="A462" s="1" t="s">
        <v>519</v>
      </c>
      <c r="B462" s="4">
        <v>46047</v>
      </c>
      <c r="C462" s="1" t="s">
        <v>18</v>
      </c>
      <c r="D462" s="1" t="s">
        <v>62</v>
      </c>
      <c r="E462" s="5">
        <v>48000</v>
      </c>
      <c r="F462" s="1">
        <v>0</v>
      </c>
      <c r="G462" s="4">
        <v>46048</v>
      </c>
      <c r="H462" s="4">
        <v>46055</v>
      </c>
      <c r="I462" s="4">
        <v>46058</v>
      </c>
      <c r="J462" s="4"/>
      <c r="K462" s="1" t="s">
        <v>55</v>
      </c>
      <c r="L462" s="7">
        <f t="shared" si="42"/>
        <v>1</v>
      </c>
      <c r="M462" s="7">
        <f t="shared" si="43"/>
        <v>11</v>
      </c>
      <c r="N462" s="7">
        <f t="shared" si="44"/>
        <v>1</v>
      </c>
      <c r="O462" s="7">
        <f t="shared" si="45"/>
        <v>7</v>
      </c>
      <c r="P462" s="7">
        <f t="shared" si="46"/>
        <v>3</v>
      </c>
      <c r="Q462" s="7" t="str">
        <f>IF(K462="Open",Summary!$B$6-B462,"")</f>
        <v/>
      </c>
      <c r="R462" s="7">
        <f>IF(L462=1,IF(M462&lt;=Summary!$B$5,1,0),"")</f>
        <v>0</v>
      </c>
      <c r="S462" s="1" t="str">
        <f t="shared" si="47"/>
        <v>2026-01</v>
      </c>
    </row>
    <row r="463" spans="1:19" ht="23" customHeight="1">
      <c r="A463" s="1" t="s">
        <v>520</v>
      </c>
      <c r="B463" s="4">
        <v>46094</v>
      </c>
      <c r="C463" s="1" t="s">
        <v>19</v>
      </c>
      <c r="D463" s="1" t="s">
        <v>54</v>
      </c>
      <c r="E463" s="5">
        <v>41000</v>
      </c>
      <c r="F463" s="1">
        <v>1</v>
      </c>
      <c r="G463" s="4"/>
      <c r="H463" s="4"/>
      <c r="I463" s="4"/>
      <c r="J463" s="4">
        <v>46099</v>
      </c>
      <c r="K463" s="1" t="s">
        <v>86</v>
      </c>
      <c r="L463" s="7">
        <f t="shared" si="42"/>
        <v>0</v>
      </c>
      <c r="M463" s="7" t="str">
        <f t="shared" si="43"/>
        <v/>
      </c>
      <c r="N463" s="7" t="str">
        <f t="shared" si="44"/>
        <v/>
      </c>
      <c r="O463" s="7" t="str">
        <f t="shared" si="45"/>
        <v/>
      </c>
      <c r="P463" s="7" t="str">
        <f t="shared" si="46"/>
        <v/>
      </c>
      <c r="Q463" s="7" t="str">
        <f>IF(K463="Open",Summary!$B$6-B463,"")</f>
        <v/>
      </c>
      <c r="R463" s="7" t="str">
        <f>IF(L463=1,IF(M463&lt;=Summary!$B$5,1,0),"")</f>
        <v/>
      </c>
      <c r="S463" s="1" t="str">
        <f t="shared" si="47"/>
        <v>2026-03</v>
      </c>
    </row>
    <row r="464" spans="1:19" ht="23" customHeight="1">
      <c r="A464" s="1" t="s">
        <v>521</v>
      </c>
      <c r="B464" s="4">
        <v>46066</v>
      </c>
      <c r="C464" s="1" t="s">
        <v>18</v>
      </c>
      <c r="D464" s="1" t="s">
        <v>59</v>
      </c>
      <c r="E464" s="5">
        <v>18000</v>
      </c>
      <c r="F464" s="1">
        <v>1</v>
      </c>
      <c r="G464" s="4">
        <v>46069</v>
      </c>
      <c r="H464" s="4">
        <v>46071</v>
      </c>
      <c r="I464" s="4">
        <v>46074</v>
      </c>
      <c r="J464" s="4"/>
      <c r="K464" s="1" t="s">
        <v>55</v>
      </c>
      <c r="L464" s="7">
        <f t="shared" si="42"/>
        <v>1</v>
      </c>
      <c r="M464" s="7">
        <f t="shared" si="43"/>
        <v>8</v>
      </c>
      <c r="N464" s="7">
        <f t="shared" si="44"/>
        <v>3</v>
      </c>
      <c r="O464" s="7">
        <f t="shared" si="45"/>
        <v>2</v>
      </c>
      <c r="P464" s="7">
        <f t="shared" si="46"/>
        <v>3</v>
      </c>
      <c r="Q464" s="7" t="str">
        <f>IF(K464="Open",Summary!$B$6-B464,"")</f>
        <v/>
      </c>
      <c r="R464" s="7">
        <f>IF(L464=1,IF(M464&lt;=Summary!$B$5,1,0),"")</f>
        <v>0</v>
      </c>
      <c r="S464" s="1" t="str">
        <f t="shared" si="47"/>
        <v>2026-02</v>
      </c>
    </row>
    <row r="465" spans="1:19" ht="23" customHeight="1">
      <c r="A465" s="1" t="s">
        <v>522</v>
      </c>
      <c r="B465" s="4">
        <v>46052</v>
      </c>
      <c r="C465" s="1" t="s">
        <v>19</v>
      </c>
      <c r="D465" s="1" t="s">
        <v>54</v>
      </c>
      <c r="E465" s="5">
        <v>50000</v>
      </c>
      <c r="F465" s="1">
        <v>0</v>
      </c>
      <c r="G465" s="4">
        <v>46052</v>
      </c>
      <c r="H465" s="4">
        <v>46053</v>
      </c>
      <c r="I465" s="4">
        <v>46054</v>
      </c>
      <c r="J465" s="4"/>
      <c r="K465" s="1" t="s">
        <v>63</v>
      </c>
      <c r="L465" s="7">
        <f t="shared" si="42"/>
        <v>1</v>
      </c>
      <c r="M465" s="7">
        <f t="shared" si="43"/>
        <v>2</v>
      </c>
      <c r="N465" s="7">
        <f t="shared" si="44"/>
        <v>0</v>
      </c>
      <c r="O465" s="7">
        <f t="shared" si="45"/>
        <v>1</v>
      </c>
      <c r="P465" s="7">
        <f t="shared" si="46"/>
        <v>1</v>
      </c>
      <c r="Q465" s="7" t="str">
        <f>IF(K465="Open",Summary!$B$6-B465,"")</f>
        <v/>
      </c>
      <c r="R465" s="7">
        <f>IF(L465=1,IF(M465&lt;=Summary!$B$5,1,0),"")</f>
        <v>1</v>
      </c>
      <c r="S465" s="1" t="str">
        <f t="shared" si="47"/>
        <v>2026-01</v>
      </c>
    </row>
    <row r="466" spans="1:19" ht="23" customHeight="1">
      <c r="A466" s="1" t="s">
        <v>523</v>
      </c>
      <c r="B466" s="4">
        <v>46027</v>
      </c>
      <c r="C466" s="1" t="s">
        <v>19</v>
      </c>
      <c r="D466" s="1" t="s">
        <v>54</v>
      </c>
      <c r="E466" s="5">
        <v>42000</v>
      </c>
      <c r="F466" s="1">
        <v>0</v>
      </c>
      <c r="G466" s="4">
        <v>46027</v>
      </c>
      <c r="H466" s="4">
        <v>46033</v>
      </c>
      <c r="I466" s="4">
        <v>46034</v>
      </c>
      <c r="J466" s="4"/>
      <c r="K466" s="1" t="s">
        <v>55</v>
      </c>
      <c r="L466" s="7">
        <f t="shared" si="42"/>
        <v>1</v>
      </c>
      <c r="M466" s="7">
        <f t="shared" si="43"/>
        <v>7</v>
      </c>
      <c r="N466" s="7">
        <f t="shared" si="44"/>
        <v>0</v>
      </c>
      <c r="O466" s="7">
        <f t="shared" si="45"/>
        <v>6</v>
      </c>
      <c r="P466" s="7">
        <f t="shared" si="46"/>
        <v>1</v>
      </c>
      <c r="Q466" s="7" t="str">
        <f>IF(K466="Open",Summary!$B$6-B466,"")</f>
        <v/>
      </c>
      <c r="R466" s="7">
        <f>IF(L466=1,IF(M466&lt;=Summary!$B$5,1,0),"")</f>
        <v>1</v>
      </c>
      <c r="S466" s="1" t="str">
        <f t="shared" si="47"/>
        <v>2026-01</v>
      </c>
    </row>
    <row r="467" spans="1:19" ht="23" customHeight="1">
      <c r="A467" s="1" t="s">
        <v>524</v>
      </c>
      <c r="B467" s="4">
        <v>46095</v>
      </c>
      <c r="C467" s="1" t="s">
        <v>19</v>
      </c>
      <c r="D467" s="1" t="s">
        <v>54</v>
      </c>
      <c r="E467" s="5">
        <v>25000</v>
      </c>
      <c r="F467" s="1">
        <v>0</v>
      </c>
      <c r="G467" s="4">
        <v>46096</v>
      </c>
      <c r="H467" s="4">
        <v>46100</v>
      </c>
      <c r="I467" s="4">
        <v>46103</v>
      </c>
      <c r="J467" s="4"/>
      <c r="K467" s="1" t="s">
        <v>63</v>
      </c>
      <c r="L467" s="7">
        <f t="shared" si="42"/>
        <v>1</v>
      </c>
      <c r="M467" s="7">
        <f t="shared" si="43"/>
        <v>8</v>
      </c>
      <c r="N467" s="7">
        <f t="shared" si="44"/>
        <v>1</v>
      </c>
      <c r="O467" s="7">
        <f t="shared" si="45"/>
        <v>4</v>
      </c>
      <c r="P467" s="7">
        <f t="shared" si="46"/>
        <v>3</v>
      </c>
      <c r="Q467" s="7" t="str">
        <f>IF(K467="Open",Summary!$B$6-B467,"")</f>
        <v/>
      </c>
      <c r="R467" s="7">
        <f>IF(L467=1,IF(M467&lt;=Summary!$B$5,1,0),"")</f>
        <v>0</v>
      </c>
      <c r="S467" s="1" t="str">
        <f t="shared" si="47"/>
        <v>2026-03</v>
      </c>
    </row>
    <row r="468" spans="1:19" ht="23" customHeight="1">
      <c r="A468" s="1" t="s">
        <v>525</v>
      </c>
      <c r="B468" s="4">
        <v>46035</v>
      </c>
      <c r="C468" s="1" t="s">
        <v>19</v>
      </c>
      <c r="D468" s="1" t="s">
        <v>54</v>
      </c>
      <c r="E468" s="5">
        <v>11000</v>
      </c>
      <c r="F468" s="1">
        <v>0</v>
      </c>
      <c r="G468" s="4">
        <v>46037</v>
      </c>
      <c r="H468" s="4">
        <v>46039</v>
      </c>
      <c r="I468" s="4">
        <v>46042</v>
      </c>
      <c r="J468" s="4"/>
      <c r="K468" s="1" t="s">
        <v>55</v>
      </c>
      <c r="L468" s="7">
        <f t="shared" si="42"/>
        <v>1</v>
      </c>
      <c r="M468" s="7">
        <f t="shared" si="43"/>
        <v>7</v>
      </c>
      <c r="N468" s="7">
        <f t="shared" si="44"/>
        <v>2</v>
      </c>
      <c r="O468" s="7">
        <f t="shared" si="45"/>
        <v>2</v>
      </c>
      <c r="P468" s="7">
        <f t="shared" si="46"/>
        <v>3</v>
      </c>
      <c r="Q468" s="7" t="str">
        <f>IF(K468="Open",Summary!$B$6-B468,"")</f>
        <v/>
      </c>
      <c r="R468" s="7">
        <f>IF(L468=1,IF(M468&lt;=Summary!$B$5,1,0),"")</f>
        <v>1</v>
      </c>
      <c r="S468" s="1" t="str">
        <f t="shared" si="47"/>
        <v>2026-01</v>
      </c>
    </row>
    <row r="469" spans="1:19" ht="23" customHeight="1">
      <c r="A469" s="1" t="s">
        <v>526</v>
      </c>
      <c r="B469" s="4">
        <v>46060</v>
      </c>
      <c r="C469" s="1" t="s">
        <v>19</v>
      </c>
      <c r="D469" s="1" t="s">
        <v>54</v>
      </c>
      <c r="E469" s="5">
        <v>13000</v>
      </c>
      <c r="F469" s="1">
        <v>1</v>
      </c>
      <c r="G469" s="4">
        <v>46065</v>
      </c>
      <c r="H469" s="4">
        <v>46070</v>
      </c>
      <c r="I469" s="4">
        <v>46073</v>
      </c>
      <c r="J469" s="4"/>
      <c r="K469" s="1" t="s">
        <v>55</v>
      </c>
      <c r="L469" s="7">
        <f t="shared" si="42"/>
        <v>1</v>
      </c>
      <c r="M469" s="7">
        <f t="shared" si="43"/>
        <v>13</v>
      </c>
      <c r="N469" s="7">
        <f t="shared" si="44"/>
        <v>5</v>
      </c>
      <c r="O469" s="7">
        <f t="shared" si="45"/>
        <v>5</v>
      </c>
      <c r="P469" s="7">
        <f t="shared" si="46"/>
        <v>3</v>
      </c>
      <c r="Q469" s="7" t="str">
        <f>IF(K469="Open",Summary!$B$6-B469,"")</f>
        <v/>
      </c>
      <c r="R469" s="7">
        <f>IF(L469=1,IF(M469&lt;=Summary!$B$5,1,0),"")</f>
        <v>0</v>
      </c>
      <c r="S469" s="1" t="str">
        <f t="shared" si="47"/>
        <v>2026-02</v>
      </c>
    </row>
    <row r="470" spans="1:19" ht="23" customHeight="1">
      <c r="A470" s="1" t="s">
        <v>527</v>
      </c>
      <c r="B470" s="4">
        <v>46073</v>
      </c>
      <c r="C470" s="1" t="s">
        <v>19</v>
      </c>
      <c r="D470" s="1" t="s">
        <v>54</v>
      </c>
      <c r="E470" s="5">
        <v>16000</v>
      </c>
      <c r="F470" s="1">
        <v>1</v>
      </c>
      <c r="G470" s="4">
        <v>46080</v>
      </c>
      <c r="H470" s="4">
        <v>46084</v>
      </c>
      <c r="I470" s="4">
        <v>46087</v>
      </c>
      <c r="J470" s="4"/>
      <c r="K470" s="1" t="s">
        <v>63</v>
      </c>
      <c r="L470" s="7">
        <f t="shared" si="42"/>
        <v>1</v>
      </c>
      <c r="M470" s="7">
        <f t="shared" si="43"/>
        <v>14</v>
      </c>
      <c r="N470" s="7">
        <f t="shared" si="44"/>
        <v>7</v>
      </c>
      <c r="O470" s="7">
        <f t="shared" si="45"/>
        <v>4</v>
      </c>
      <c r="P470" s="7">
        <f t="shared" si="46"/>
        <v>3</v>
      </c>
      <c r="Q470" s="7" t="str">
        <f>IF(K470="Open",Summary!$B$6-B470,"")</f>
        <v/>
      </c>
      <c r="R470" s="7">
        <f>IF(L470=1,IF(M470&lt;=Summary!$B$5,1,0),"")</f>
        <v>0</v>
      </c>
      <c r="S470" s="1" t="str">
        <f t="shared" si="47"/>
        <v>2026-02</v>
      </c>
    </row>
    <row r="471" spans="1:19" ht="23" customHeight="1">
      <c r="A471" s="1" t="s">
        <v>528</v>
      </c>
      <c r="B471" s="4">
        <v>46067</v>
      </c>
      <c r="C471" s="1" t="s">
        <v>19</v>
      </c>
      <c r="D471" s="1" t="s">
        <v>54</v>
      </c>
      <c r="E471" s="5">
        <v>25000</v>
      </c>
      <c r="F471" s="1">
        <v>1</v>
      </c>
      <c r="G471" s="4">
        <v>46077</v>
      </c>
      <c r="H471" s="4">
        <v>46083</v>
      </c>
      <c r="I471" s="4">
        <v>46086</v>
      </c>
      <c r="J471" s="4"/>
      <c r="K471" s="1" t="s">
        <v>63</v>
      </c>
      <c r="L471" s="7">
        <f t="shared" si="42"/>
        <v>1</v>
      </c>
      <c r="M471" s="7">
        <f t="shared" si="43"/>
        <v>19</v>
      </c>
      <c r="N471" s="7">
        <f t="shared" si="44"/>
        <v>10</v>
      </c>
      <c r="O471" s="7">
        <f t="shared" si="45"/>
        <v>6</v>
      </c>
      <c r="P471" s="7">
        <f t="shared" si="46"/>
        <v>3</v>
      </c>
      <c r="Q471" s="7" t="str">
        <f>IF(K471="Open",Summary!$B$6-B471,"")</f>
        <v/>
      </c>
      <c r="R471" s="7">
        <f>IF(L471=1,IF(M471&lt;=Summary!$B$5,1,0),"")</f>
        <v>0</v>
      </c>
      <c r="S471" s="1" t="str">
        <f t="shared" si="47"/>
        <v>2026-02</v>
      </c>
    </row>
    <row r="472" spans="1:19" ht="23" customHeight="1">
      <c r="A472" s="1" t="s">
        <v>529</v>
      </c>
      <c r="B472" s="4">
        <v>46092</v>
      </c>
      <c r="C472" s="1" t="s">
        <v>18</v>
      </c>
      <c r="D472" s="1" t="s">
        <v>62</v>
      </c>
      <c r="E472" s="5">
        <v>27000</v>
      </c>
      <c r="F472" s="1">
        <v>0</v>
      </c>
      <c r="G472" s="4">
        <v>46094</v>
      </c>
      <c r="H472" s="4">
        <v>46101</v>
      </c>
      <c r="I472" s="4">
        <v>46103</v>
      </c>
      <c r="J472" s="4"/>
      <c r="K472" s="1" t="s">
        <v>55</v>
      </c>
      <c r="L472" s="7">
        <f t="shared" si="42"/>
        <v>1</v>
      </c>
      <c r="M472" s="7">
        <f t="shared" si="43"/>
        <v>11</v>
      </c>
      <c r="N472" s="7">
        <f t="shared" si="44"/>
        <v>2</v>
      </c>
      <c r="O472" s="7">
        <f t="shared" si="45"/>
        <v>7</v>
      </c>
      <c r="P472" s="7">
        <f t="shared" si="46"/>
        <v>2</v>
      </c>
      <c r="Q472" s="7" t="str">
        <f>IF(K472="Open",Summary!$B$6-B472,"")</f>
        <v/>
      </c>
      <c r="R472" s="7">
        <f>IF(L472=1,IF(M472&lt;=Summary!$B$5,1,0),"")</f>
        <v>0</v>
      </c>
      <c r="S472" s="1" t="str">
        <f t="shared" si="47"/>
        <v>2026-03</v>
      </c>
    </row>
    <row r="473" spans="1:19" ht="23" customHeight="1">
      <c r="A473" s="1" t="s">
        <v>530</v>
      </c>
      <c r="B473" s="4">
        <v>46057</v>
      </c>
      <c r="C473" s="1" t="s">
        <v>18</v>
      </c>
      <c r="D473" s="1" t="s">
        <v>59</v>
      </c>
      <c r="E473" s="5">
        <v>6000</v>
      </c>
      <c r="F473" s="1">
        <v>0</v>
      </c>
      <c r="G473" s="4">
        <v>46058</v>
      </c>
      <c r="H473" s="4">
        <v>46059</v>
      </c>
      <c r="I473" s="4">
        <v>46060</v>
      </c>
      <c r="J473" s="4"/>
      <c r="K473" s="1" t="s">
        <v>55</v>
      </c>
      <c r="L473" s="7">
        <f t="shared" si="42"/>
        <v>1</v>
      </c>
      <c r="M473" s="7">
        <f t="shared" si="43"/>
        <v>3</v>
      </c>
      <c r="N473" s="7">
        <f t="shared" si="44"/>
        <v>1</v>
      </c>
      <c r="O473" s="7">
        <f t="shared" si="45"/>
        <v>1</v>
      </c>
      <c r="P473" s="7">
        <f t="shared" si="46"/>
        <v>1</v>
      </c>
      <c r="Q473" s="7" t="str">
        <f>IF(K473="Open",Summary!$B$6-B473,"")</f>
        <v/>
      </c>
      <c r="R473" s="7">
        <f>IF(L473=1,IF(M473&lt;=Summary!$B$5,1,0),"")</f>
        <v>1</v>
      </c>
      <c r="S473" s="1" t="str">
        <f t="shared" si="47"/>
        <v>2026-02</v>
      </c>
    </row>
    <row r="474" spans="1:19" ht="23" customHeight="1">
      <c r="A474" s="1" t="s">
        <v>531</v>
      </c>
      <c r="B474" s="4">
        <v>46073</v>
      </c>
      <c r="C474" s="1" t="s">
        <v>18</v>
      </c>
      <c r="D474" s="1" t="s">
        <v>71</v>
      </c>
      <c r="E474" s="5">
        <v>34000</v>
      </c>
      <c r="F474" s="1">
        <v>0</v>
      </c>
      <c r="G474" s="4">
        <v>46074</v>
      </c>
      <c r="H474" s="4">
        <v>46079</v>
      </c>
      <c r="I474" s="4">
        <v>46081</v>
      </c>
      <c r="J474" s="4"/>
      <c r="K474" s="1" t="s">
        <v>55</v>
      </c>
      <c r="L474" s="7">
        <f t="shared" si="42"/>
        <v>1</v>
      </c>
      <c r="M474" s="7">
        <f t="shared" si="43"/>
        <v>8</v>
      </c>
      <c r="N474" s="7">
        <f t="shared" si="44"/>
        <v>1</v>
      </c>
      <c r="O474" s="7">
        <f t="shared" si="45"/>
        <v>5</v>
      </c>
      <c r="P474" s="7">
        <f t="shared" si="46"/>
        <v>2</v>
      </c>
      <c r="Q474" s="7" t="str">
        <f>IF(K474="Open",Summary!$B$6-B474,"")</f>
        <v/>
      </c>
      <c r="R474" s="7">
        <f>IF(L474=1,IF(M474&lt;=Summary!$B$5,1,0),"")</f>
        <v>0</v>
      </c>
      <c r="S474" s="1" t="str">
        <f t="shared" si="47"/>
        <v>2026-02</v>
      </c>
    </row>
    <row r="475" spans="1:19" ht="23" customHeight="1">
      <c r="A475" s="1" t="s">
        <v>532</v>
      </c>
      <c r="B475" s="4">
        <v>46092</v>
      </c>
      <c r="C475" s="1" t="s">
        <v>19</v>
      </c>
      <c r="D475" s="1" t="s">
        <v>54</v>
      </c>
      <c r="E475" s="5">
        <v>7000</v>
      </c>
      <c r="F475" s="1">
        <v>1</v>
      </c>
      <c r="G475" s="4">
        <v>46095</v>
      </c>
      <c r="H475" s="4">
        <v>46099</v>
      </c>
      <c r="I475" s="4">
        <v>46101</v>
      </c>
      <c r="J475" s="4"/>
      <c r="K475" s="1" t="s">
        <v>63</v>
      </c>
      <c r="L475" s="7">
        <f t="shared" si="42"/>
        <v>1</v>
      </c>
      <c r="M475" s="7">
        <f t="shared" si="43"/>
        <v>9</v>
      </c>
      <c r="N475" s="7">
        <f t="shared" si="44"/>
        <v>3</v>
      </c>
      <c r="O475" s="7">
        <f t="shared" si="45"/>
        <v>4</v>
      </c>
      <c r="P475" s="7">
        <f t="shared" si="46"/>
        <v>2</v>
      </c>
      <c r="Q475" s="7" t="str">
        <f>IF(K475="Open",Summary!$B$6-B475,"")</f>
        <v/>
      </c>
      <c r="R475" s="7">
        <f>IF(L475=1,IF(M475&lt;=Summary!$B$5,1,0),"")</f>
        <v>0</v>
      </c>
      <c r="S475" s="1" t="str">
        <f t="shared" si="47"/>
        <v>2026-03</v>
      </c>
    </row>
    <row r="476" spans="1:19" ht="23" customHeight="1">
      <c r="A476" s="1" t="s">
        <v>533</v>
      </c>
      <c r="B476" s="4">
        <v>46074</v>
      </c>
      <c r="C476" s="1" t="s">
        <v>19</v>
      </c>
      <c r="D476" s="1" t="s">
        <v>54</v>
      </c>
      <c r="E476" s="5">
        <v>8000</v>
      </c>
      <c r="F476" s="1">
        <v>1</v>
      </c>
      <c r="G476" s="4">
        <v>46080</v>
      </c>
      <c r="H476" s="4">
        <v>46083</v>
      </c>
      <c r="I476" s="4">
        <v>46084</v>
      </c>
      <c r="J476" s="4"/>
      <c r="K476" s="1" t="s">
        <v>55</v>
      </c>
      <c r="L476" s="7">
        <f t="shared" si="42"/>
        <v>1</v>
      </c>
      <c r="M476" s="7">
        <f t="shared" si="43"/>
        <v>10</v>
      </c>
      <c r="N476" s="7">
        <f t="shared" si="44"/>
        <v>6</v>
      </c>
      <c r="O476" s="7">
        <f t="shared" si="45"/>
        <v>3</v>
      </c>
      <c r="P476" s="7">
        <f t="shared" si="46"/>
        <v>1</v>
      </c>
      <c r="Q476" s="7" t="str">
        <f>IF(K476="Open",Summary!$B$6-B476,"")</f>
        <v/>
      </c>
      <c r="R476" s="7">
        <f>IF(L476=1,IF(M476&lt;=Summary!$B$5,1,0),"")</f>
        <v>0</v>
      </c>
      <c r="S476" s="1" t="str">
        <f t="shared" si="47"/>
        <v>2026-02</v>
      </c>
    </row>
    <row r="477" spans="1:19" ht="23" customHeight="1">
      <c r="A477" s="1" t="s">
        <v>534</v>
      </c>
      <c r="B477" s="4">
        <v>46050</v>
      </c>
      <c r="C477" s="1" t="s">
        <v>18</v>
      </c>
      <c r="D477" s="1" t="s">
        <v>59</v>
      </c>
      <c r="E477" s="5">
        <v>33000</v>
      </c>
      <c r="F477" s="1">
        <v>0</v>
      </c>
      <c r="G477" s="4">
        <v>46050</v>
      </c>
      <c r="H477" s="4">
        <v>46055</v>
      </c>
      <c r="I477" s="4">
        <v>46058</v>
      </c>
      <c r="J477" s="4"/>
      <c r="K477" s="1" t="s">
        <v>63</v>
      </c>
      <c r="L477" s="7">
        <f t="shared" si="42"/>
        <v>1</v>
      </c>
      <c r="M477" s="7">
        <f t="shared" si="43"/>
        <v>8</v>
      </c>
      <c r="N477" s="7">
        <f t="shared" si="44"/>
        <v>0</v>
      </c>
      <c r="O477" s="7">
        <f t="shared" si="45"/>
        <v>5</v>
      </c>
      <c r="P477" s="7">
        <f t="shared" si="46"/>
        <v>3</v>
      </c>
      <c r="Q477" s="7" t="str">
        <f>IF(K477="Open",Summary!$B$6-B477,"")</f>
        <v/>
      </c>
      <c r="R477" s="7">
        <f>IF(L477=1,IF(M477&lt;=Summary!$B$5,1,0),"")</f>
        <v>0</v>
      </c>
      <c r="S477" s="1" t="str">
        <f t="shared" si="47"/>
        <v>2026-01</v>
      </c>
    </row>
    <row r="478" spans="1:19" ht="23" customHeight="1">
      <c r="A478" s="1" t="s">
        <v>535</v>
      </c>
      <c r="B478" s="4">
        <v>46048</v>
      </c>
      <c r="C478" s="1" t="s">
        <v>18</v>
      </c>
      <c r="D478" s="1" t="s">
        <v>62</v>
      </c>
      <c r="E478" s="5">
        <v>11000</v>
      </c>
      <c r="F478" s="1">
        <v>1</v>
      </c>
      <c r="G478" s="4">
        <v>46057</v>
      </c>
      <c r="H478" s="4">
        <v>46062</v>
      </c>
      <c r="I478" s="4">
        <v>46064</v>
      </c>
      <c r="J478" s="4"/>
      <c r="K478" s="1" t="s">
        <v>55</v>
      </c>
      <c r="L478" s="7">
        <f t="shared" si="42"/>
        <v>1</v>
      </c>
      <c r="M478" s="7">
        <f t="shared" si="43"/>
        <v>16</v>
      </c>
      <c r="N478" s="7">
        <f t="shared" si="44"/>
        <v>9</v>
      </c>
      <c r="O478" s="7">
        <f t="shared" si="45"/>
        <v>5</v>
      </c>
      <c r="P478" s="7">
        <f t="shared" si="46"/>
        <v>2</v>
      </c>
      <c r="Q478" s="7" t="str">
        <f>IF(K478="Open",Summary!$B$6-B478,"")</f>
        <v/>
      </c>
      <c r="R478" s="7">
        <f>IF(L478=1,IF(M478&lt;=Summary!$B$5,1,0),"")</f>
        <v>0</v>
      </c>
      <c r="S478" s="1" t="str">
        <f t="shared" si="47"/>
        <v>2026-01</v>
      </c>
    </row>
    <row r="479" spans="1:19" ht="23" customHeight="1">
      <c r="A479" s="1" t="s">
        <v>536</v>
      </c>
      <c r="B479" s="4">
        <v>46097</v>
      </c>
      <c r="C479" s="1" t="s">
        <v>19</v>
      </c>
      <c r="D479" s="1" t="s">
        <v>54</v>
      </c>
      <c r="E479" s="5">
        <v>50000</v>
      </c>
      <c r="F479" s="1">
        <v>0</v>
      </c>
      <c r="G479" s="4">
        <v>46098</v>
      </c>
      <c r="H479" s="4">
        <v>46104</v>
      </c>
      <c r="I479" s="4">
        <v>46106</v>
      </c>
      <c r="J479" s="4"/>
      <c r="K479" s="1" t="s">
        <v>55</v>
      </c>
      <c r="L479" s="7">
        <f t="shared" si="42"/>
        <v>1</v>
      </c>
      <c r="M479" s="7">
        <f t="shared" si="43"/>
        <v>9</v>
      </c>
      <c r="N479" s="7">
        <f t="shared" si="44"/>
        <v>1</v>
      </c>
      <c r="O479" s="7">
        <f t="shared" si="45"/>
        <v>6</v>
      </c>
      <c r="P479" s="7">
        <f t="shared" si="46"/>
        <v>2</v>
      </c>
      <c r="Q479" s="7" t="str">
        <f>IF(K479="Open",Summary!$B$6-B479,"")</f>
        <v/>
      </c>
      <c r="R479" s="7">
        <f>IF(L479=1,IF(M479&lt;=Summary!$B$5,1,0),"")</f>
        <v>0</v>
      </c>
      <c r="S479" s="1" t="str">
        <f t="shared" si="47"/>
        <v>2026-03</v>
      </c>
    </row>
    <row r="480" spans="1:19" ht="23" customHeight="1">
      <c r="A480" s="1" t="s">
        <v>537</v>
      </c>
      <c r="B480" s="4">
        <v>46028</v>
      </c>
      <c r="C480" s="1" t="s">
        <v>19</v>
      </c>
      <c r="D480" s="1" t="s">
        <v>54</v>
      </c>
      <c r="E480" s="5">
        <v>45000</v>
      </c>
      <c r="F480" s="1">
        <v>1</v>
      </c>
      <c r="G480" s="4">
        <v>46037</v>
      </c>
      <c r="H480" s="4">
        <v>46041</v>
      </c>
      <c r="I480" s="4">
        <v>46043</v>
      </c>
      <c r="J480" s="4"/>
      <c r="K480" s="1" t="s">
        <v>63</v>
      </c>
      <c r="L480" s="7">
        <f t="shared" si="42"/>
        <v>1</v>
      </c>
      <c r="M480" s="7">
        <f t="shared" si="43"/>
        <v>15</v>
      </c>
      <c r="N480" s="7">
        <f t="shared" si="44"/>
        <v>9</v>
      </c>
      <c r="O480" s="7">
        <f t="shared" si="45"/>
        <v>4</v>
      </c>
      <c r="P480" s="7">
        <f t="shared" si="46"/>
        <v>2</v>
      </c>
      <c r="Q480" s="7" t="str">
        <f>IF(K480="Open",Summary!$B$6-B480,"")</f>
        <v/>
      </c>
      <c r="R480" s="7">
        <f>IF(L480=1,IF(M480&lt;=Summary!$B$5,1,0),"")</f>
        <v>0</v>
      </c>
      <c r="S480" s="1" t="str">
        <f t="shared" si="47"/>
        <v>2026-01</v>
      </c>
    </row>
    <row r="481" spans="1:19" ht="23" customHeight="1">
      <c r="A481" s="1" t="s">
        <v>538</v>
      </c>
      <c r="B481" s="4">
        <v>46062</v>
      </c>
      <c r="C481" s="1" t="s">
        <v>18</v>
      </c>
      <c r="D481" s="1" t="s">
        <v>62</v>
      </c>
      <c r="E481" s="5">
        <v>9000</v>
      </c>
      <c r="F481" s="1">
        <v>0</v>
      </c>
      <c r="G481" s="4">
        <v>46063</v>
      </c>
      <c r="H481" s="4">
        <v>46070</v>
      </c>
      <c r="I481" s="4">
        <v>46071</v>
      </c>
      <c r="J481" s="4"/>
      <c r="K481" s="1" t="s">
        <v>63</v>
      </c>
      <c r="L481" s="7">
        <f t="shared" si="42"/>
        <v>1</v>
      </c>
      <c r="M481" s="7">
        <f t="shared" si="43"/>
        <v>9</v>
      </c>
      <c r="N481" s="7">
        <f t="shared" si="44"/>
        <v>1</v>
      </c>
      <c r="O481" s="7">
        <f t="shared" si="45"/>
        <v>7</v>
      </c>
      <c r="P481" s="7">
        <f t="shared" si="46"/>
        <v>1</v>
      </c>
      <c r="Q481" s="7" t="str">
        <f>IF(K481="Open",Summary!$B$6-B481,"")</f>
        <v/>
      </c>
      <c r="R481" s="7">
        <f>IF(L481=1,IF(M481&lt;=Summary!$B$5,1,0),"")</f>
        <v>0</v>
      </c>
      <c r="S481" s="1" t="str">
        <f t="shared" si="47"/>
        <v>2026-02</v>
      </c>
    </row>
    <row r="482" spans="1:19" ht="23" customHeight="1">
      <c r="A482" s="1" t="s">
        <v>539</v>
      </c>
      <c r="B482" s="4">
        <v>46056</v>
      </c>
      <c r="C482" s="1" t="s">
        <v>19</v>
      </c>
      <c r="D482" s="1" t="s">
        <v>54</v>
      </c>
      <c r="E482" s="5">
        <v>35000</v>
      </c>
      <c r="F482" s="1">
        <v>0</v>
      </c>
      <c r="G482" s="4">
        <v>46058</v>
      </c>
      <c r="H482" s="4">
        <v>46059</v>
      </c>
      <c r="I482" s="4">
        <v>46062</v>
      </c>
      <c r="J482" s="4"/>
      <c r="K482" s="1" t="s">
        <v>55</v>
      </c>
      <c r="L482" s="7">
        <f t="shared" si="42"/>
        <v>1</v>
      </c>
      <c r="M482" s="7">
        <f t="shared" si="43"/>
        <v>6</v>
      </c>
      <c r="N482" s="7">
        <f t="shared" si="44"/>
        <v>2</v>
      </c>
      <c r="O482" s="7">
        <f t="shared" si="45"/>
        <v>1</v>
      </c>
      <c r="P482" s="7">
        <f t="shared" si="46"/>
        <v>3</v>
      </c>
      <c r="Q482" s="7" t="str">
        <f>IF(K482="Open",Summary!$B$6-B482,"")</f>
        <v/>
      </c>
      <c r="R482" s="7">
        <f>IF(L482=1,IF(M482&lt;=Summary!$B$5,1,0),"")</f>
        <v>1</v>
      </c>
      <c r="S482" s="1" t="str">
        <f t="shared" si="47"/>
        <v>2026-02</v>
      </c>
    </row>
    <row r="483" spans="1:19" ht="23" customHeight="1">
      <c r="A483" s="1" t="s">
        <v>540</v>
      </c>
      <c r="B483" s="4">
        <v>46105</v>
      </c>
      <c r="C483" s="1" t="s">
        <v>18</v>
      </c>
      <c r="D483" s="1" t="s">
        <v>65</v>
      </c>
      <c r="E483" s="5">
        <v>35000</v>
      </c>
      <c r="F483" s="1">
        <v>0</v>
      </c>
      <c r="G483" s="4">
        <v>46106</v>
      </c>
      <c r="H483" s="4">
        <v>46108</v>
      </c>
      <c r="I483" s="4">
        <v>46111</v>
      </c>
      <c r="J483" s="4"/>
      <c r="K483" s="1" t="s">
        <v>63</v>
      </c>
      <c r="L483" s="7">
        <f t="shared" si="42"/>
        <v>1</v>
      </c>
      <c r="M483" s="7">
        <f t="shared" si="43"/>
        <v>6</v>
      </c>
      <c r="N483" s="7">
        <f t="shared" si="44"/>
        <v>1</v>
      </c>
      <c r="O483" s="7">
        <f t="shared" si="45"/>
        <v>2</v>
      </c>
      <c r="P483" s="7">
        <f t="shared" si="46"/>
        <v>3</v>
      </c>
      <c r="Q483" s="7" t="str">
        <f>IF(K483="Open",Summary!$B$6-B483,"")</f>
        <v/>
      </c>
      <c r="R483" s="7">
        <f>IF(L483=1,IF(M483&lt;=Summary!$B$5,1,0),"")</f>
        <v>1</v>
      </c>
      <c r="S483" s="1" t="str">
        <f t="shared" si="47"/>
        <v>2026-03</v>
      </c>
    </row>
    <row r="484" spans="1:19" ht="23" customHeight="1">
      <c r="A484" s="1" t="s">
        <v>541</v>
      </c>
      <c r="B484" s="4">
        <v>46093</v>
      </c>
      <c r="C484" s="1" t="s">
        <v>19</v>
      </c>
      <c r="D484" s="1" t="s">
        <v>54</v>
      </c>
      <c r="E484" s="5">
        <v>22000</v>
      </c>
      <c r="F484" s="1">
        <v>0</v>
      </c>
      <c r="G484" s="4">
        <v>46095</v>
      </c>
      <c r="H484" s="4">
        <v>46097</v>
      </c>
      <c r="I484" s="4">
        <v>46100</v>
      </c>
      <c r="J484" s="4"/>
      <c r="K484" s="1" t="s">
        <v>63</v>
      </c>
      <c r="L484" s="7">
        <f t="shared" si="42"/>
        <v>1</v>
      </c>
      <c r="M484" s="7">
        <f t="shared" si="43"/>
        <v>7</v>
      </c>
      <c r="N484" s="7">
        <f t="shared" si="44"/>
        <v>2</v>
      </c>
      <c r="O484" s="7">
        <f t="shared" si="45"/>
        <v>2</v>
      </c>
      <c r="P484" s="7">
        <f t="shared" si="46"/>
        <v>3</v>
      </c>
      <c r="Q484" s="7" t="str">
        <f>IF(K484="Open",Summary!$B$6-B484,"")</f>
        <v/>
      </c>
      <c r="R484" s="7">
        <f>IF(L484=1,IF(M484&lt;=Summary!$B$5,1,0),"")</f>
        <v>1</v>
      </c>
      <c r="S484" s="1" t="str">
        <f t="shared" si="47"/>
        <v>2026-03</v>
      </c>
    </row>
    <row r="485" spans="1:19" ht="23" customHeight="1">
      <c r="A485" s="1" t="s">
        <v>542</v>
      </c>
      <c r="B485" s="4">
        <v>46095</v>
      </c>
      <c r="C485" s="1" t="s">
        <v>18</v>
      </c>
      <c r="D485" s="1" t="s">
        <v>59</v>
      </c>
      <c r="E485" s="5">
        <v>24000</v>
      </c>
      <c r="F485" s="1">
        <v>1</v>
      </c>
      <c r="G485" s="4">
        <v>46102</v>
      </c>
      <c r="H485" s="4">
        <v>46107</v>
      </c>
      <c r="I485" s="4">
        <v>46109</v>
      </c>
      <c r="J485" s="4"/>
      <c r="K485" s="1" t="s">
        <v>55</v>
      </c>
      <c r="L485" s="7">
        <f t="shared" si="42"/>
        <v>1</v>
      </c>
      <c r="M485" s="7">
        <f t="shared" si="43"/>
        <v>14</v>
      </c>
      <c r="N485" s="7">
        <f t="shared" si="44"/>
        <v>7</v>
      </c>
      <c r="O485" s="7">
        <f t="shared" si="45"/>
        <v>5</v>
      </c>
      <c r="P485" s="7">
        <f t="shared" si="46"/>
        <v>2</v>
      </c>
      <c r="Q485" s="7" t="str">
        <f>IF(K485="Open",Summary!$B$6-B485,"")</f>
        <v/>
      </c>
      <c r="R485" s="7">
        <f>IF(L485=1,IF(M485&lt;=Summary!$B$5,1,0),"")</f>
        <v>0</v>
      </c>
      <c r="S485" s="1" t="str">
        <f t="shared" si="47"/>
        <v>2026-03</v>
      </c>
    </row>
    <row r="486" spans="1:19" ht="23" customHeight="1">
      <c r="A486" s="1" t="s">
        <v>543</v>
      </c>
      <c r="B486" s="4">
        <v>46045</v>
      </c>
      <c r="C486" s="1" t="s">
        <v>18</v>
      </c>
      <c r="D486" s="1" t="s">
        <v>62</v>
      </c>
      <c r="E486" s="5">
        <v>44000</v>
      </c>
      <c r="F486" s="1">
        <v>0</v>
      </c>
      <c r="G486" s="4">
        <v>46045</v>
      </c>
      <c r="H486" s="4">
        <v>46051</v>
      </c>
      <c r="I486" s="4">
        <v>46052</v>
      </c>
      <c r="J486" s="4"/>
      <c r="K486" s="1" t="s">
        <v>55</v>
      </c>
      <c r="L486" s="7">
        <f t="shared" si="42"/>
        <v>1</v>
      </c>
      <c r="M486" s="7">
        <f t="shared" si="43"/>
        <v>7</v>
      </c>
      <c r="N486" s="7">
        <f t="shared" si="44"/>
        <v>0</v>
      </c>
      <c r="O486" s="7">
        <f t="shared" si="45"/>
        <v>6</v>
      </c>
      <c r="P486" s="7">
        <f t="shared" si="46"/>
        <v>1</v>
      </c>
      <c r="Q486" s="7" t="str">
        <f>IF(K486="Open",Summary!$B$6-B486,"")</f>
        <v/>
      </c>
      <c r="R486" s="7">
        <f>IF(L486=1,IF(M486&lt;=Summary!$B$5,1,0),"")</f>
        <v>1</v>
      </c>
      <c r="S486" s="1" t="str">
        <f t="shared" si="47"/>
        <v>2026-01</v>
      </c>
    </row>
    <row r="487" spans="1:19" ht="23" customHeight="1">
      <c r="A487" s="1" t="s">
        <v>544</v>
      </c>
      <c r="B487" s="4">
        <v>46039</v>
      </c>
      <c r="C487" s="1" t="s">
        <v>18</v>
      </c>
      <c r="D487" s="1" t="s">
        <v>65</v>
      </c>
      <c r="E487" s="5">
        <v>25000</v>
      </c>
      <c r="F487" s="1">
        <v>1</v>
      </c>
      <c r="G487" s="4"/>
      <c r="H487" s="4"/>
      <c r="I487" s="4"/>
      <c r="J487" s="4">
        <v>46045</v>
      </c>
      <c r="K487" s="1" t="s">
        <v>86</v>
      </c>
      <c r="L487" s="7">
        <f t="shared" si="42"/>
        <v>0</v>
      </c>
      <c r="M487" s="7" t="str">
        <f t="shared" si="43"/>
        <v/>
      </c>
      <c r="N487" s="7" t="str">
        <f t="shared" si="44"/>
        <v/>
      </c>
      <c r="O487" s="7" t="str">
        <f t="shared" si="45"/>
        <v/>
      </c>
      <c r="P487" s="7" t="str">
        <f t="shared" si="46"/>
        <v/>
      </c>
      <c r="Q487" s="7" t="str">
        <f>IF(K487="Open",Summary!$B$6-B487,"")</f>
        <v/>
      </c>
      <c r="R487" s="7" t="str">
        <f>IF(L487=1,IF(M487&lt;=Summary!$B$5,1,0),"")</f>
        <v/>
      </c>
      <c r="S487" s="1" t="str">
        <f t="shared" si="47"/>
        <v>2026-01</v>
      </c>
    </row>
    <row r="488" spans="1:19" ht="23" customHeight="1">
      <c r="A488" s="1" t="s">
        <v>545</v>
      </c>
      <c r="B488" s="4">
        <v>46041</v>
      </c>
      <c r="C488" s="1" t="s">
        <v>18</v>
      </c>
      <c r="D488" s="1" t="s">
        <v>71</v>
      </c>
      <c r="E488" s="5">
        <v>18000</v>
      </c>
      <c r="F488" s="1">
        <v>0</v>
      </c>
      <c r="G488" s="4">
        <v>46041</v>
      </c>
      <c r="H488" s="4">
        <v>46044</v>
      </c>
      <c r="I488" s="4">
        <v>46047</v>
      </c>
      <c r="J488" s="4"/>
      <c r="K488" s="1" t="s">
        <v>55</v>
      </c>
      <c r="L488" s="7">
        <f t="shared" si="42"/>
        <v>1</v>
      </c>
      <c r="M488" s="7">
        <f t="shared" si="43"/>
        <v>6</v>
      </c>
      <c r="N488" s="7">
        <f t="shared" si="44"/>
        <v>0</v>
      </c>
      <c r="O488" s="7">
        <f t="shared" si="45"/>
        <v>3</v>
      </c>
      <c r="P488" s="7">
        <f t="shared" si="46"/>
        <v>3</v>
      </c>
      <c r="Q488" s="7" t="str">
        <f>IF(K488="Open",Summary!$B$6-B488,"")</f>
        <v/>
      </c>
      <c r="R488" s="7">
        <f>IF(L488=1,IF(M488&lt;=Summary!$B$5,1,0),"")</f>
        <v>1</v>
      </c>
      <c r="S488" s="1" t="str">
        <f t="shared" si="47"/>
        <v>2026-01</v>
      </c>
    </row>
    <row r="489" spans="1:19" ht="23" customHeight="1">
      <c r="A489" s="1" t="s">
        <v>546</v>
      </c>
      <c r="B489" s="4">
        <v>46096</v>
      </c>
      <c r="C489" s="1" t="s">
        <v>19</v>
      </c>
      <c r="D489" s="1" t="s">
        <v>54</v>
      </c>
      <c r="E489" s="5">
        <v>36000</v>
      </c>
      <c r="F489" s="1">
        <v>0</v>
      </c>
      <c r="G489" s="4">
        <v>46098</v>
      </c>
      <c r="H489" s="4">
        <v>46102</v>
      </c>
      <c r="I489" s="4">
        <v>46105</v>
      </c>
      <c r="J489" s="4"/>
      <c r="K489" s="1" t="s">
        <v>55</v>
      </c>
      <c r="L489" s="7">
        <f t="shared" si="42"/>
        <v>1</v>
      </c>
      <c r="M489" s="7">
        <f t="shared" si="43"/>
        <v>9</v>
      </c>
      <c r="N489" s="7">
        <f t="shared" si="44"/>
        <v>2</v>
      </c>
      <c r="O489" s="7">
        <f t="shared" si="45"/>
        <v>4</v>
      </c>
      <c r="P489" s="7">
        <f t="shared" si="46"/>
        <v>3</v>
      </c>
      <c r="Q489" s="7" t="str">
        <f>IF(K489="Open",Summary!$B$6-B489,"")</f>
        <v/>
      </c>
      <c r="R489" s="7">
        <f>IF(L489=1,IF(M489&lt;=Summary!$B$5,1,0),"")</f>
        <v>0</v>
      </c>
      <c r="S489" s="1" t="str">
        <f t="shared" si="47"/>
        <v>2026-03</v>
      </c>
    </row>
    <row r="490" spans="1:19" ht="23" customHeight="1">
      <c r="A490" s="1" t="s">
        <v>547</v>
      </c>
      <c r="B490" s="4">
        <v>46087</v>
      </c>
      <c r="C490" s="1" t="s">
        <v>19</v>
      </c>
      <c r="D490" s="1" t="s">
        <v>54</v>
      </c>
      <c r="E490" s="5">
        <v>11000</v>
      </c>
      <c r="F490" s="1">
        <v>1</v>
      </c>
      <c r="G490" s="4"/>
      <c r="H490" s="4"/>
      <c r="I490" s="4"/>
      <c r="J490" s="4">
        <v>46094</v>
      </c>
      <c r="K490" s="1" t="s">
        <v>86</v>
      </c>
      <c r="L490" s="7">
        <f t="shared" si="42"/>
        <v>0</v>
      </c>
      <c r="M490" s="7" t="str">
        <f t="shared" si="43"/>
        <v/>
      </c>
      <c r="N490" s="7" t="str">
        <f t="shared" si="44"/>
        <v/>
      </c>
      <c r="O490" s="7" t="str">
        <f t="shared" si="45"/>
        <v/>
      </c>
      <c r="P490" s="7" t="str">
        <f t="shared" si="46"/>
        <v/>
      </c>
      <c r="Q490" s="7" t="str">
        <f>IF(K490="Open",Summary!$B$6-B490,"")</f>
        <v/>
      </c>
      <c r="R490" s="7" t="str">
        <f>IF(L490=1,IF(M490&lt;=Summary!$B$5,1,0),"")</f>
        <v/>
      </c>
      <c r="S490" s="1" t="str">
        <f t="shared" si="47"/>
        <v>2026-03</v>
      </c>
    </row>
    <row r="491" spans="1:19" ht="23" customHeight="1">
      <c r="A491" s="1" t="s">
        <v>548</v>
      </c>
      <c r="B491" s="4">
        <v>46073</v>
      </c>
      <c r="C491" s="1" t="s">
        <v>19</v>
      </c>
      <c r="D491" s="1" t="s">
        <v>54</v>
      </c>
      <c r="E491" s="5">
        <v>47000</v>
      </c>
      <c r="F491" s="1">
        <v>0</v>
      </c>
      <c r="G491" s="4">
        <v>46075</v>
      </c>
      <c r="H491" s="4">
        <v>46077</v>
      </c>
      <c r="I491" s="4">
        <v>46079</v>
      </c>
      <c r="J491" s="4"/>
      <c r="K491" s="1" t="s">
        <v>55</v>
      </c>
      <c r="L491" s="7">
        <f t="shared" si="42"/>
        <v>1</v>
      </c>
      <c r="M491" s="7">
        <f t="shared" si="43"/>
        <v>6</v>
      </c>
      <c r="N491" s="7">
        <f t="shared" si="44"/>
        <v>2</v>
      </c>
      <c r="O491" s="7">
        <f t="shared" si="45"/>
        <v>2</v>
      </c>
      <c r="P491" s="7">
        <f t="shared" si="46"/>
        <v>2</v>
      </c>
      <c r="Q491" s="7" t="str">
        <f>IF(K491="Open",Summary!$B$6-B491,"")</f>
        <v/>
      </c>
      <c r="R491" s="7">
        <f>IF(L491=1,IF(M491&lt;=Summary!$B$5,1,0),"")</f>
        <v>1</v>
      </c>
      <c r="S491" s="1" t="str">
        <f t="shared" si="47"/>
        <v>2026-02</v>
      </c>
    </row>
    <row r="492" spans="1:19" ht="23" customHeight="1">
      <c r="A492" s="1" t="s">
        <v>549</v>
      </c>
      <c r="B492" s="4">
        <v>46023</v>
      </c>
      <c r="C492" s="1" t="s">
        <v>19</v>
      </c>
      <c r="D492" s="1" t="s">
        <v>54</v>
      </c>
      <c r="E492" s="5">
        <v>16000</v>
      </c>
      <c r="F492" s="1">
        <v>0</v>
      </c>
      <c r="G492" s="4">
        <v>46024</v>
      </c>
      <c r="H492" s="4">
        <v>46030</v>
      </c>
      <c r="I492" s="4">
        <v>46033</v>
      </c>
      <c r="J492" s="4"/>
      <c r="K492" s="1" t="s">
        <v>63</v>
      </c>
      <c r="L492" s="7">
        <f t="shared" si="42"/>
        <v>1</v>
      </c>
      <c r="M492" s="7">
        <f t="shared" si="43"/>
        <v>10</v>
      </c>
      <c r="N492" s="7">
        <f t="shared" si="44"/>
        <v>1</v>
      </c>
      <c r="O492" s="7">
        <f t="shared" si="45"/>
        <v>6</v>
      </c>
      <c r="P492" s="7">
        <f t="shared" si="46"/>
        <v>3</v>
      </c>
      <c r="Q492" s="7" t="str">
        <f>IF(K492="Open",Summary!$B$6-B492,"")</f>
        <v/>
      </c>
      <c r="R492" s="7">
        <f>IF(L492=1,IF(M492&lt;=Summary!$B$5,1,0),"")</f>
        <v>0</v>
      </c>
      <c r="S492" s="1" t="str">
        <f t="shared" si="47"/>
        <v>2026-01</v>
      </c>
    </row>
    <row r="493" spans="1:19" ht="23" customHeight="1">
      <c r="A493" s="1" t="s">
        <v>550</v>
      </c>
      <c r="B493" s="4">
        <v>46094</v>
      </c>
      <c r="C493" s="1" t="s">
        <v>18</v>
      </c>
      <c r="D493" s="1" t="s">
        <v>62</v>
      </c>
      <c r="E493" s="5">
        <v>48000</v>
      </c>
      <c r="F493" s="1">
        <v>0</v>
      </c>
      <c r="G493" s="4">
        <v>46095</v>
      </c>
      <c r="H493" s="4">
        <v>46100</v>
      </c>
      <c r="I493" s="4">
        <v>46102</v>
      </c>
      <c r="J493" s="4"/>
      <c r="K493" s="1" t="s">
        <v>63</v>
      </c>
      <c r="L493" s="7">
        <f t="shared" si="42"/>
        <v>1</v>
      </c>
      <c r="M493" s="7">
        <f t="shared" si="43"/>
        <v>8</v>
      </c>
      <c r="N493" s="7">
        <f t="shared" si="44"/>
        <v>1</v>
      </c>
      <c r="O493" s="7">
        <f t="shared" si="45"/>
        <v>5</v>
      </c>
      <c r="P493" s="7">
        <f t="shared" si="46"/>
        <v>2</v>
      </c>
      <c r="Q493" s="7" t="str">
        <f>IF(K493="Open",Summary!$B$6-B493,"")</f>
        <v/>
      </c>
      <c r="R493" s="7">
        <f>IF(L493=1,IF(M493&lt;=Summary!$B$5,1,0),"")</f>
        <v>0</v>
      </c>
      <c r="S493" s="1" t="str">
        <f t="shared" si="47"/>
        <v>2026-03</v>
      </c>
    </row>
    <row r="494" spans="1:19" ht="23" customHeight="1">
      <c r="A494" s="1" t="s">
        <v>551</v>
      </c>
      <c r="B494" s="4">
        <v>46044</v>
      </c>
      <c r="C494" s="1" t="s">
        <v>18</v>
      </c>
      <c r="D494" s="1" t="s">
        <v>62</v>
      </c>
      <c r="E494" s="5">
        <v>9000</v>
      </c>
      <c r="F494" s="1">
        <v>0</v>
      </c>
      <c r="G494" s="4">
        <v>46044</v>
      </c>
      <c r="H494" s="4">
        <v>46047</v>
      </c>
      <c r="I494" s="4">
        <v>46049</v>
      </c>
      <c r="J494" s="4"/>
      <c r="K494" s="1" t="s">
        <v>63</v>
      </c>
      <c r="L494" s="7">
        <f t="shared" si="42"/>
        <v>1</v>
      </c>
      <c r="M494" s="7">
        <f t="shared" si="43"/>
        <v>5</v>
      </c>
      <c r="N494" s="7">
        <f t="shared" si="44"/>
        <v>0</v>
      </c>
      <c r="O494" s="7">
        <f t="shared" si="45"/>
        <v>3</v>
      </c>
      <c r="P494" s="7">
        <f t="shared" si="46"/>
        <v>2</v>
      </c>
      <c r="Q494" s="7" t="str">
        <f>IF(K494="Open",Summary!$B$6-B494,"")</f>
        <v/>
      </c>
      <c r="R494" s="7">
        <f>IF(L494=1,IF(M494&lt;=Summary!$B$5,1,0),"")</f>
        <v>1</v>
      </c>
      <c r="S494" s="1" t="str">
        <f t="shared" si="47"/>
        <v>2026-01</v>
      </c>
    </row>
    <row r="495" spans="1:19" ht="23" customHeight="1">
      <c r="A495" s="1" t="s">
        <v>552</v>
      </c>
      <c r="B495" s="4">
        <v>46061</v>
      </c>
      <c r="C495" s="1" t="s">
        <v>18</v>
      </c>
      <c r="D495" s="1" t="s">
        <v>59</v>
      </c>
      <c r="E495" s="5">
        <v>13000</v>
      </c>
      <c r="F495" s="1">
        <v>1</v>
      </c>
      <c r="G495" s="4">
        <v>46071</v>
      </c>
      <c r="H495" s="4">
        <v>46073</v>
      </c>
      <c r="I495" s="4">
        <v>46076</v>
      </c>
      <c r="J495" s="4"/>
      <c r="K495" s="1" t="s">
        <v>55</v>
      </c>
      <c r="L495" s="7">
        <f t="shared" si="42"/>
        <v>1</v>
      </c>
      <c r="M495" s="7">
        <f t="shared" si="43"/>
        <v>15</v>
      </c>
      <c r="N495" s="7">
        <f t="shared" si="44"/>
        <v>10</v>
      </c>
      <c r="O495" s="7">
        <f t="shared" si="45"/>
        <v>2</v>
      </c>
      <c r="P495" s="7">
        <f t="shared" si="46"/>
        <v>3</v>
      </c>
      <c r="Q495" s="7" t="str">
        <f>IF(K495="Open",Summary!$B$6-B495,"")</f>
        <v/>
      </c>
      <c r="R495" s="7">
        <f>IF(L495=1,IF(M495&lt;=Summary!$B$5,1,0),"")</f>
        <v>0</v>
      </c>
      <c r="S495" s="1" t="str">
        <f t="shared" si="47"/>
        <v>2026-02</v>
      </c>
    </row>
    <row r="496" spans="1:19" ht="23" customHeight="1">
      <c r="A496" s="1" t="s">
        <v>553</v>
      </c>
      <c r="B496" s="4">
        <v>46064</v>
      </c>
      <c r="C496" s="1" t="s">
        <v>19</v>
      </c>
      <c r="D496" s="1" t="s">
        <v>54</v>
      </c>
      <c r="E496" s="5">
        <v>31000</v>
      </c>
      <c r="F496" s="1">
        <v>0</v>
      </c>
      <c r="G496" s="4">
        <v>46065</v>
      </c>
      <c r="H496" s="4">
        <v>46071</v>
      </c>
      <c r="I496" s="4">
        <v>46074</v>
      </c>
      <c r="J496" s="4"/>
      <c r="K496" s="1" t="s">
        <v>55</v>
      </c>
      <c r="L496" s="7">
        <f t="shared" si="42"/>
        <v>1</v>
      </c>
      <c r="M496" s="7">
        <f t="shared" si="43"/>
        <v>10</v>
      </c>
      <c r="N496" s="7">
        <f t="shared" si="44"/>
        <v>1</v>
      </c>
      <c r="O496" s="7">
        <f t="shared" si="45"/>
        <v>6</v>
      </c>
      <c r="P496" s="7">
        <f t="shared" si="46"/>
        <v>3</v>
      </c>
      <c r="Q496" s="7" t="str">
        <f>IF(K496="Open",Summary!$B$6-B496,"")</f>
        <v/>
      </c>
      <c r="R496" s="7">
        <f>IF(L496=1,IF(M496&lt;=Summary!$B$5,1,0),"")</f>
        <v>0</v>
      </c>
      <c r="S496" s="1" t="str">
        <f t="shared" si="47"/>
        <v>2026-02</v>
      </c>
    </row>
    <row r="497" spans="1:19" ht="23" customHeight="1">
      <c r="A497" s="1" t="s">
        <v>554</v>
      </c>
      <c r="B497" s="4">
        <v>46099</v>
      </c>
      <c r="C497" s="1" t="s">
        <v>18</v>
      </c>
      <c r="D497" s="1" t="s">
        <v>59</v>
      </c>
      <c r="E497" s="5">
        <v>47000</v>
      </c>
      <c r="F497" s="1">
        <v>1</v>
      </c>
      <c r="G497" s="4">
        <v>46104</v>
      </c>
      <c r="H497" s="4">
        <v>46107</v>
      </c>
      <c r="I497" s="4">
        <v>46108</v>
      </c>
      <c r="J497" s="4"/>
      <c r="K497" s="1" t="s">
        <v>55</v>
      </c>
      <c r="L497" s="7">
        <f t="shared" si="42"/>
        <v>1</v>
      </c>
      <c r="M497" s="7">
        <f t="shared" si="43"/>
        <v>9</v>
      </c>
      <c r="N497" s="7">
        <f t="shared" si="44"/>
        <v>5</v>
      </c>
      <c r="O497" s="7">
        <f t="shared" si="45"/>
        <v>3</v>
      </c>
      <c r="P497" s="7">
        <f t="shared" si="46"/>
        <v>1</v>
      </c>
      <c r="Q497" s="7" t="str">
        <f>IF(K497="Open",Summary!$B$6-B497,"")</f>
        <v/>
      </c>
      <c r="R497" s="7">
        <f>IF(L497=1,IF(M497&lt;=Summary!$B$5,1,0),"")</f>
        <v>0</v>
      </c>
      <c r="S497" s="1" t="str">
        <f t="shared" si="47"/>
        <v>2026-03</v>
      </c>
    </row>
    <row r="498" spans="1:19" ht="23" customHeight="1">
      <c r="A498" s="1" t="s">
        <v>555</v>
      </c>
      <c r="B498" s="4">
        <v>46074</v>
      </c>
      <c r="C498" s="1" t="s">
        <v>19</v>
      </c>
      <c r="D498" s="1" t="s">
        <v>54</v>
      </c>
      <c r="E498" s="5">
        <v>39000</v>
      </c>
      <c r="F498" s="1">
        <v>0</v>
      </c>
      <c r="G498" s="4">
        <v>46075</v>
      </c>
      <c r="H498" s="4">
        <v>46081</v>
      </c>
      <c r="I498" s="4">
        <v>46084</v>
      </c>
      <c r="J498" s="4"/>
      <c r="K498" s="1" t="s">
        <v>55</v>
      </c>
      <c r="L498" s="7">
        <f t="shared" si="42"/>
        <v>1</v>
      </c>
      <c r="M498" s="7">
        <f t="shared" si="43"/>
        <v>10</v>
      </c>
      <c r="N498" s="7">
        <f t="shared" si="44"/>
        <v>1</v>
      </c>
      <c r="O498" s="7">
        <f t="shared" si="45"/>
        <v>6</v>
      </c>
      <c r="P498" s="7">
        <f t="shared" si="46"/>
        <v>3</v>
      </c>
      <c r="Q498" s="7" t="str">
        <f>IF(K498="Open",Summary!$B$6-B498,"")</f>
        <v/>
      </c>
      <c r="R498" s="7">
        <f>IF(L498=1,IF(M498&lt;=Summary!$B$5,1,0),"")</f>
        <v>0</v>
      </c>
      <c r="S498" s="1" t="str">
        <f t="shared" si="47"/>
        <v>2026-02</v>
      </c>
    </row>
    <row r="499" spans="1:19" ht="23" customHeight="1">
      <c r="A499" s="1" t="s">
        <v>556</v>
      </c>
      <c r="B499" s="4">
        <v>46084</v>
      </c>
      <c r="C499" s="1" t="s">
        <v>18</v>
      </c>
      <c r="D499" s="1" t="s">
        <v>59</v>
      </c>
      <c r="E499" s="5">
        <v>23000</v>
      </c>
      <c r="F499" s="1">
        <v>1</v>
      </c>
      <c r="G499" s="4"/>
      <c r="H499" s="4"/>
      <c r="I499" s="4"/>
      <c r="J499" s="4">
        <v>46089</v>
      </c>
      <c r="K499" s="1" t="s">
        <v>86</v>
      </c>
      <c r="L499" s="7">
        <f t="shared" si="42"/>
        <v>0</v>
      </c>
      <c r="M499" s="7" t="str">
        <f t="shared" si="43"/>
        <v/>
      </c>
      <c r="N499" s="7" t="str">
        <f t="shared" si="44"/>
        <v/>
      </c>
      <c r="O499" s="7" t="str">
        <f t="shared" si="45"/>
        <v/>
      </c>
      <c r="P499" s="7" t="str">
        <f t="shared" si="46"/>
        <v/>
      </c>
      <c r="Q499" s="7" t="str">
        <f>IF(K499="Open",Summary!$B$6-B499,"")</f>
        <v/>
      </c>
      <c r="R499" s="7" t="str">
        <f>IF(L499=1,IF(M499&lt;=Summary!$B$5,1,0),"")</f>
        <v/>
      </c>
      <c r="S499" s="1" t="str">
        <f t="shared" si="47"/>
        <v>2026-03</v>
      </c>
    </row>
    <row r="500" spans="1:19" ht="23" customHeight="1">
      <c r="A500" s="1" t="s">
        <v>557</v>
      </c>
      <c r="B500" s="4">
        <v>46036</v>
      </c>
      <c r="C500" s="1" t="s">
        <v>18</v>
      </c>
      <c r="D500" s="1" t="s">
        <v>65</v>
      </c>
      <c r="E500" s="5">
        <v>20000</v>
      </c>
      <c r="F500" s="1">
        <v>1</v>
      </c>
      <c r="G500" s="4">
        <v>46044</v>
      </c>
      <c r="H500" s="4">
        <v>46046</v>
      </c>
      <c r="I500" s="4">
        <v>46047</v>
      </c>
      <c r="J500" s="4"/>
      <c r="K500" s="1" t="s">
        <v>55</v>
      </c>
      <c r="L500" s="7">
        <f t="shared" si="42"/>
        <v>1</v>
      </c>
      <c r="M500" s="7">
        <f t="shared" si="43"/>
        <v>11</v>
      </c>
      <c r="N500" s="7">
        <f t="shared" si="44"/>
        <v>8</v>
      </c>
      <c r="O500" s="7">
        <f t="shared" si="45"/>
        <v>2</v>
      </c>
      <c r="P500" s="7">
        <f t="shared" si="46"/>
        <v>1</v>
      </c>
      <c r="Q500" s="7" t="str">
        <f>IF(K500="Open",Summary!$B$6-B500,"")</f>
        <v/>
      </c>
      <c r="R500" s="7">
        <f>IF(L500=1,IF(M500&lt;=Summary!$B$5,1,0),"")</f>
        <v>0</v>
      </c>
      <c r="S500" s="1" t="str">
        <f t="shared" si="47"/>
        <v>2026-01</v>
      </c>
    </row>
    <row r="501" spans="1:19" ht="23" customHeight="1">
      <c r="A501" s="1" t="s">
        <v>558</v>
      </c>
      <c r="B501" s="4">
        <v>46033</v>
      </c>
      <c r="C501" s="1" t="s">
        <v>19</v>
      </c>
      <c r="D501" s="1" t="s">
        <v>54</v>
      </c>
      <c r="E501" s="5">
        <v>22000</v>
      </c>
      <c r="F501" s="1">
        <v>0</v>
      </c>
      <c r="G501" s="4">
        <v>46034</v>
      </c>
      <c r="H501" s="4">
        <v>46038</v>
      </c>
      <c r="I501" s="4">
        <v>46041</v>
      </c>
      <c r="J501" s="4"/>
      <c r="K501" s="1" t="s">
        <v>63</v>
      </c>
      <c r="L501" s="7">
        <f t="shared" si="42"/>
        <v>1</v>
      </c>
      <c r="M501" s="7">
        <f t="shared" si="43"/>
        <v>8</v>
      </c>
      <c r="N501" s="7">
        <f t="shared" si="44"/>
        <v>1</v>
      </c>
      <c r="O501" s="7">
        <f t="shared" si="45"/>
        <v>4</v>
      </c>
      <c r="P501" s="7">
        <f t="shared" si="46"/>
        <v>3</v>
      </c>
      <c r="Q501" s="7" t="str">
        <f>IF(K501="Open",Summary!$B$6-B501,"")</f>
        <v/>
      </c>
      <c r="R501" s="7">
        <f>IF(L501=1,IF(M501&lt;=Summary!$B$5,1,0),"")</f>
        <v>0</v>
      </c>
      <c r="S501" s="1" t="str">
        <f t="shared" si="47"/>
        <v>2026-01</v>
      </c>
    </row>
    <row r="502" spans="1:19" ht="23" customHeight="1">
      <c r="A502" s="1" t="s">
        <v>559</v>
      </c>
      <c r="B502" s="4">
        <v>46087</v>
      </c>
      <c r="C502" s="1" t="s">
        <v>19</v>
      </c>
      <c r="D502" s="1" t="s">
        <v>54</v>
      </c>
      <c r="E502" s="5">
        <v>39000</v>
      </c>
      <c r="F502" s="1">
        <v>0</v>
      </c>
      <c r="G502" s="4">
        <v>46089</v>
      </c>
      <c r="H502" s="4">
        <v>46094</v>
      </c>
      <c r="I502" s="4">
        <v>46096</v>
      </c>
      <c r="J502" s="4"/>
      <c r="K502" s="1" t="s">
        <v>55</v>
      </c>
      <c r="L502" s="7">
        <f t="shared" si="42"/>
        <v>1</v>
      </c>
      <c r="M502" s="7">
        <f t="shared" si="43"/>
        <v>9</v>
      </c>
      <c r="N502" s="7">
        <f t="shared" si="44"/>
        <v>2</v>
      </c>
      <c r="O502" s="7">
        <f t="shared" si="45"/>
        <v>5</v>
      </c>
      <c r="P502" s="7">
        <f t="shared" si="46"/>
        <v>2</v>
      </c>
      <c r="Q502" s="7" t="str">
        <f>IF(K502="Open",Summary!$B$6-B502,"")</f>
        <v/>
      </c>
      <c r="R502" s="7">
        <f>IF(L502=1,IF(M502&lt;=Summary!$B$5,1,0),"")</f>
        <v>0</v>
      </c>
      <c r="S502" s="1" t="str">
        <f t="shared" si="47"/>
        <v>2026-03</v>
      </c>
    </row>
    <row r="503" spans="1:19" ht="23" customHeight="1">
      <c r="A503" s="1" t="s">
        <v>560</v>
      </c>
      <c r="B503" s="4">
        <v>46031</v>
      </c>
      <c r="C503" s="1" t="s">
        <v>18</v>
      </c>
      <c r="D503" s="1" t="s">
        <v>65</v>
      </c>
      <c r="E503" s="5">
        <v>15000</v>
      </c>
      <c r="F503" s="1">
        <v>1</v>
      </c>
      <c r="G503" s="4">
        <v>46036</v>
      </c>
      <c r="H503" s="4">
        <v>46037</v>
      </c>
      <c r="I503" s="4">
        <v>46040</v>
      </c>
      <c r="J503" s="4"/>
      <c r="K503" s="1" t="s">
        <v>63</v>
      </c>
      <c r="L503" s="7">
        <f t="shared" si="42"/>
        <v>1</v>
      </c>
      <c r="M503" s="7">
        <f t="shared" si="43"/>
        <v>9</v>
      </c>
      <c r="N503" s="7">
        <f t="shared" si="44"/>
        <v>5</v>
      </c>
      <c r="O503" s="7">
        <f t="shared" si="45"/>
        <v>1</v>
      </c>
      <c r="P503" s="7">
        <f t="shared" si="46"/>
        <v>3</v>
      </c>
      <c r="Q503" s="7" t="str">
        <f>IF(K503="Open",Summary!$B$6-B503,"")</f>
        <v/>
      </c>
      <c r="R503" s="7">
        <f>IF(L503=1,IF(M503&lt;=Summary!$B$5,1,0),"")</f>
        <v>0</v>
      </c>
      <c r="S503" s="1" t="str">
        <f t="shared" si="47"/>
        <v>2026-01</v>
      </c>
    </row>
    <row r="504" spans="1:19" ht="23" customHeight="1">
      <c r="A504" s="1" t="s">
        <v>561</v>
      </c>
      <c r="B504" s="4">
        <v>46039</v>
      </c>
      <c r="C504" s="1" t="s">
        <v>18</v>
      </c>
      <c r="D504" s="1" t="s">
        <v>71</v>
      </c>
      <c r="E504" s="5">
        <v>38000</v>
      </c>
      <c r="F504" s="1">
        <v>0</v>
      </c>
      <c r="G504" s="4">
        <v>46039</v>
      </c>
      <c r="H504" s="4">
        <v>46045</v>
      </c>
      <c r="I504" s="4">
        <v>46048</v>
      </c>
      <c r="J504" s="4"/>
      <c r="K504" s="1" t="s">
        <v>55</v>
      </c>
      <c r="L504" s="7">
        <f t="shared" si="42"/>
        <v>1</v>
      </c>
      <c r="M504" s="7">
        <f t="shared" si="43"/>
        <v>9</v>
      </c>
      <c r="N504" s="7">
        <f t="shared" si="44"/>
        <v>0</v>
      </c>
      <c r="O504" s="7">
        <f t="shared" si="45"/>
        <v>6</v>
      </c>
      <c r="P504" s="7">
        <f t="shared" si="46"/>
        <v>3</v>
      </c>
      <c r="Q504" s="7" t="str">
        <f>IF(K504="Open",Summary!$B$6-B504,"")</f>
        <v/>
      </c>
      <c r="R504" s="7">
        <f>IF(L504=1,IF(M504&lt;=Summary!$B$5,1,0),"")</f>
        <v>0</v>
      </c>
      <c r="S504" s="1" t="str">
        <f t="shared" si="47"/>
        <v>2026-01</v>
      </c>
    </row>
    <row r="505" spans="1:19" ht="23" customHeight="1">
      <c r="A505" s="1" t="s">
        <v>562</v>
      </c>
      <c r="B505" s="4">
        <v>46041</v>
      </c>
      <c r="C505" s="1" t="s">
        <v>19</v>
      </c>
      <c r="D505" s="1" t="s">
        <v>54</v>
      </c>
      <c r="E505" s="5">
        <v>18000</v>
      </c>
      <c r="F505" s="1">
        <v>0</v>
      </c>
      <c r="G505" s="4">
        <v>46043</v>
      </c>
      <c r="H505" s="4">
        <v>46047</v>
      </c>
      <c r="I505" s="4">
        <v>46048</v>
      </c>
      <c r="J505" s="4"/>
      <c r="K505" s="1" t="s">
        <v>55</v>
      </c>
      <c r="L505" s="7">
        <f t="shared" si="42"/>
        <v>1</v>
      </c>
      <c r="M505" s="7">
        <f t="shared" si="43"/>
        <v>7</v>
      </c>
      <c r="N505" s="7">
        <f t="shared" si="44"/>
        <v>2</v>
      </c>
      <c r="O505" s="7">
        <f t="shared" si="45"/>
        <v>4</v>
      </c>
      <c r="P505" s="7">
        <f t="shared" si="46"/>
        <v>1</v>
      </c>
      <c r="Q505" s="7" t="str">
        <f>IF(K505="Open",Summary!$B$6-B505,"")</f>
        <v/>
      </c>
      <c r="R505" s="7">
        <f>IF(L505=1,IF(M505&lt;=Summary!$B$5,1,0),"")</f>
        <v>1</v>
      </c>
      <c r="S505" s="1" t="str">
        <f t="shared" si="47"/>
        <v>2026-01</v>
      </c>
    </row>
    <row r="506" spans="1:19" ht="23" customHeight="1">
      <c r="A506" s="1" t="s">
        <v>563</v>
      </c>
      <c r="B506" s="4">
        <v>46090</v>
      </c>
      <c r="C506" s="1" t="s">
        <v>18</v>
      </c>
      <c r="D506" s="1" t="s">
        <v>59</v>
      </c>
      <c r="E506" s="5">
        <v>45000</v>
      </c>
      <c r="F506" s="1">
        <v>0</v>
      </c>
      <c r="G506" s="4">
        <v>46091</v>
      </c>
      <c r="H506" s="4">
        <v>46093</v>
      </c>
      <c r="I506" s="4">
        <v>46094</v>
      </c>
      <c r="J506" s="4"/>
      <c r="K506" s="1" t="s">
        <v>55</v>
      </c>
      <c r="L506" s="7">
        <f t="shared" si="42"/>
        <v>1</v>
      </c>
      <c r="M506" s="7">
        <f t="shared" si="43"/>
        <v>4</v>
      </c>
      <c r="N506" s="7">
        <f t="shared" si="44"/>
        <v>1</v>
      </c>
      <c r="O506" s="7">
        <f t="shared" si="45"/>
        <v>2</v>
      </c>
      <c r="P506" s="7">
        <f t="shared" si="46"/>
        <v>1</v>
      </c>
      <c r="Q506" s="7" t="str">
        <f>IF(K506="Open",Summary!$B$6-B506,"")</f>
        <v/>
      </c>
      <c r="R506" s="7">
        <f>IF(L506=1,IF(M506&lt;=Summary!$B$5,1,0),"")</f>
        <v>1</v>
      </c>
      <c r="S506" s="1" t="str">
        <f t="shared" si="47"/>
        <v>2026-03</v>
      </c>
    </row>
    <row r="507" spans="1:19" ht="23" customHeight="1">
      <c r="A507" s="1" t="s">
        <v>564</v>
      </c>
      <c r="B507" s="4">
        <v>46072</v>
      </c>
      <c r="C507" s="1" t="s">
        <v>19</v>
      </c>
      <c r="D507" s="1" t="s">
        <v>54</v>
      </c>
      <c r="E507" s="5">
        <v>7000</v>
      </c>
      <c r="F507" s="1">
        <v>0</v>
      </c>
      <c r="G507" s="4">
        <v>46074</v>
      </c>
      <c r="H507" s="4">
        <v>46078</v>
      </c>
      <c r="I507" s="4">
        <v>46081</v>
      </c>
      <c r="J507" s="4"/>
      <c r="K507" s="1" t="s">
        <v>55</v>
      </c>
      <c r="L507" s="7">
        <f t="shared" si="42"/>
        <v>1</v>
      </c>
      <c r="M507" s="7">
        <f t="shared" si="43"/>
        <v>9</v>
      </c>
      <c r="N507" s="7">
        <f t="shared" si="44"/>
        <v>2</v>
      </c>
      <c r="O507" s="7">
        <f t="shared" si="45"/>
        <v>4</v>
      </c>
      <c r="P507" s="7">
        <f t="shared" si="46"/>
        <v>3</v>
      </c>
      <c r="Q507" s="7" t="str">
        <f>IF(K507="Open",Summary!$B$6-B507,"")</f>
        <v/>
      </c>
      <c r="R507" s="7">
        <f>IF(L507=1,IF(M507&lt;=Summary!$B$5,1,0),"")</f>
        <v>0</v>
      </c>
      <c r="S507" s="1" t="str">
        <f t="shared" si="47"/>
        <v>2026-02</v>
      </c>
    </row>
    <row r="508" spans="1:19" ht="23" customHeight="1">
      <c r="A508" s="1" t="s">
        <v>565</v>
      </c>
      <c r="B508" s="4">
        <v>46095</v>
      </c>
      <c r="C508" s="1" t="s">
        <v>18</v>
      </c>
      <c r="D508" s="1" t="s">
        <v>62</v>
      </c>
      <c r="E508" s="5">
        <v>41000</v>
      </c>
      <c r="F508" s="1">
        <v>1</v>
      </c>
      <c r="G508" s="4">
        <v>46099</v>
      </c>
      <c r="H508" s="4">
        <v>46102</v>
      </c>
      <c r="I508" s="4">
        <v>46105</v>
      </c>
      <c r="J508" s="4"/>
      <c r="K508" s="1" t="s">
        <v>55</v>
      </c>
      <c r="L508" s="7">
        <f t="shared" si="42"/>
        <v>1</v>
      </c>
      <c r="M508" s="7">
        <f t="shared" si="43"/>
        <v>10</v>
      </c>
      <c r="N508" s="7">
        <f t="shared" si="44"/>
        <v>4</v>
      </c>
      <c r="O508" s="7">
        <f t="shared" si="45"/>
        <v>3</v>
      </c>
      <c r="P508" s="7">
        <f t="shared" si="46"/>
        <v>3</v>
      </c>
      <c r="Q508" s="7" t="str">
        <f>IF(K508="Open",Summary!$B$6-B508,"")</f>
        <v/>
      </c>
      <c r="R508" s="7">
        <f>IF(L508=1,IF(M508&lt;=Summary!$B$5,1,0),"")</f>
        <v>0</v>
      </c>
      <c r="S508" s="1" t="str">
        <f t="shared" si="47"/>
        <v>2026-03</v>
      </c>
    </row>
    <row r="509" spans="1:19" ht="23" customHeight="1">
      <c r="A509" s="1" t="s">
        <v>566</v>
      </c>
      <c r="B509" s="4">
        <v>46058</v>
      </c>
      <c r="C509" s="1" t="s">
        <v>19</v>
      </c>
      <c r="D509" s="1" t="s">
        <v>54</v>
      </c>
      <c r="E509" s="5">
        <v>29000</v>
      </c>
      <c r="F509" s="1">
        <v>0</v>
      </c>
      <c r="G509" s="4">
        <v>46058</v>
      </c>
      <c r="H509" s="4">
        <v>46063</v>
      </c>
      <c r="I509" s="4">
        <v>46066</v>
      </c>
      <c r="J509" s="4"/>
      <c r="K509" s="1" t="s">
        <v>55</v>
      </c>
      <c r="L509" s="7">
        <f t="shared" si="42"/>
        <v>1</v>
      </c>
      <c r="M509" s="7">
        <f t="shared" si="43"/>
        <v>8</v>
      </c>
      <c r="N509" s="7">
        <f t="shared" si="44"/>
        <v>0</v>
      </c>
      <c r="O509" s="7">
        <f t="shared" si="45"/>
        <v>5</v>
      </c>
      <c r="P509" s="7">
        <f t="shared" si="46"/>
        <v>3</v>
      </c>
      <c r="Q509" s="7" t="str">
        <f>IF(K509="Open",Summary!$B$6-B509,"")</f>
        <v/>
      </c>
      <c r="R509" s="7">
        <f>IF(L509=1,IF(M509&lt;=Summary!$B$5,1,0),"")</f>
        <v>0</v>
      </c>
      <c r="S509" s="1" t="str">
        <f t="shared" si="47"/>
        <v>2026-02</v>
      </c>
    </row>
    <row r="510" spans="1:19" ht="23" customHeight="1">
      <c r="A510" s="1" t="s">
        <v>567</v>
      </c>
      <c r="B510" s="4">
        <v>46053</v>
      </c>
      <c r="C510" s="1" t="s">
        <v>18</v>
      </c>
      <c r="D510" s="1" t="s">
        <v>71</v>
      </c>
      <c r="E510" s="5">
        <v>31000</v>
      </c>
      <c r="F510" s="1">
        <v>1</v>
      </c>
      <c r="G510" s="4">
        <v>46061</v>
      </c>
      <c r="H510" s="4">
        <v>46066</v>
      </c>
      <c r="I510" s="4">
        <v>46067</v>
      </c>
      <c r="J510" s="4"/>
      <c r="K510" s="1" t="s">
        <v>55</v>
      </c>
      <c r="L510" s="7">
        <f t="shared" si="42"/>
        <v>1</v>
      </c>
      <c r="M510" s="7">
        <f t="shared" si="43"/>
        <v>14</v>
      </c>
      <c r="N510" s="7">
        <f t="shared" si="44"/>
        <v>8</v>
      </c>
      <c r="O510" s="7">
        <f t="shared" si="45"/>
        <v>5</v>
      </c>
      <c r="P510" s="7">
        <f t="shared" si="46"/>
        <v>1</v>
      </c>
      <c r="Q510" s="7" t="str">
        <f>IF(K510="Open",Summary!$B$6-B510,"")</f>
        <v/>
      </c>
      <c r="R510" s="7">
        <f>IF(L510=1,IF(M510&lt;=Summary!$B$5,1,0),"")</f>
        <v>0</v>
      </c>
      <c r="S510" s="1" t="str">
        <f t="shared" si="47"/>
        <v>2026-01</v>
      </c>
    </row>
    <row r="511" spans="1:19" ht="23" customHeight="1">
      <c r="A511" s="1" t="s">
        <v>568</v>
      </c>
      <c r="B511" s="4">
        <v>46049</v>
      </c>
      <c r="C511" s="1" t="s">
        <v>18</v>
      </c>
      <c r="D511" s="1" t="s">
        <v>62</v>
      </c>
      <c r="E511" s="5">
        <v>15000</v>
      </c>
      <c r="F511" s="1">
        <v>0</v>
      </c>
      <c r="G511" s="4">
        <v>46051</v>
      </c>
      <c r="H511" s="4">
        <v>46056</v>
      </c>
      <c r="I511" s="4">
        <v>46058</v>
      </c>
      <c r="J511" s="4"/>
      <c r="K511" s="1" t="s">
        <v>55</v>
      </c>
      <c r="L511" s="7">
        <f t="shared" si="42"/>
        <v>1</v>
      </c>
      <c r="M511" s="7">
        <f t="shared" si="43"/>
        <v>9</v>
      </c>
      <c r="N511" s="7">
        <f t="shared" si="44"/>
        <v>2</v>
      </c>
      <c r="O511" s="7">
        <f t="shared" si="45"/>
        <v>5</v>
      </c>
      <c r="P511" s="7">
        <f t="shared" si="46"/>
        <v>2</v>
      </c>
      <c r="Q511" s="7" t="str">
        <f>IF(K511="Open",Summary!$B$6-B511,"")</f>
        <v/>
      </c>
      <c r="R511" s="7">
        <f>IF(L511=1,IF(M511&lt;=Summary!$B$5,1,0),"")</f>
        <v>0</v>
      </c>
      <c r="S511" s="1" t="str">
        <f t="shared" si="47"/>
        <v>2026-01</v>
      </c>
    </row>
    <row r="512" spans="1:19" ht="23" customHeight="1">
      <c r="A512" s="1" t="s">
        <v>569</v>
      </c>
      <c r="B512" s="4">
        <v>46091</v>
      </c>
      <c r="C512" s="1" t="s">
        <v>18</v>
      </c>
      <c r="D512" s="1" t="s">
        <v>59</v>
      </c>
      <c r="E512" s="5">
        <v>48000</v>
      </c>
      <c r="F512" s="1">
        <v>0</v>
      </c>
      <c r="G512" s="4">
        <v>46093</v>
      </c>
      <c r="H512" s="4">
        <v>46095</v>
      </c>
      <c r="I512" s="4">
        <v>46096</v>
      </c>
      <c r="J512" s="4"/>
      <c r="K512" s="1" t="s">
        <v>63</v>
      </c>
      <c r="L512" s="7">
        <f t="shared" si="42"/>
        <v>1</v>
      </c>
      <c r="M512" s="7">
        <f t="shared" si="43"/>
        <v>5</v>
      </c>
      <c r="N512" s="7">
        <f t="shared" si="44"/>
        <v>2</v>
      </c>
      <c r="O512" s="7">
        <f t="shared" si="45"/>
        <v>2</v>
      </c>
      <c r="P512" s="7">
        <f t="shared" si="46"/>
        <v>1</v>
      </c>
      <c r="Q512" s="7" t="str">
        <f>IF(K512="Open",Summary!$B$6-B512,"")</f>
        <v/>
      </c>
      <c r="R512" s="7">
        <f>IF(L512=1,IF(M512&lt;=Summary!$B$5,1,0),"")</f>
        <v>1</v>
      </c>
      <c r="S512" s="1" t="str">
        <f t="shared" si="47"/>
        <v>2026-03</v>
      </c>
    </row>
    <row r="513" spans="1:19" ht="23" customHeight="1">
      <c r="A513" s="1" t="s">
        <v>570</v>
      </c>
      <c r="B513" s="4">
        <v>46024</v>
      </c>
      <c r="C513" s="1" t="s">
        <v>18</v>
      </c>
      <c r="D513" s="1" t="s">
        <v>71</v>
      </c>
      <c r="E513" s="5">
        <v>33000</v>
      </c>
      <c r="F513" s="1">
        <v>0</v>
      </c>
      <c r="G513" s="4">
        <v>46025</v>
      </c>
      <c r="H513" s="4">
        <v>46028</v>
      </c>
      <c r="I513" s="4">
        <v>46029</v>
      </c>
      <c r="J513" s="4"/>
      <c r="K513" s="1" t="s">
        <v>63</v>
      </c>
      <c r="L513" s="7">
        <f t="shared" si="42"/>
        <v>1</v>
      </c>
      <c r="M513" s="7">
        <f t="shared" si="43"/>
        <v>5</v>
      </c>
      <c r="N513" s="7">
        <f t="shared" si="44"/>
        <v>1</v>
      </c>
      <c r="O513" s="7">
        <f t="shared" si="45"/>
        <v>3</v>
      </c>
      <c r="P513" s="7">
        <f t="shared" si="46"/>
        <v>1</v>
      </c>
      <c r="Q513" s="7" t="str">
        <f>IF(K513="Open",Summary!$B$6-B513,"")</f>
        <v/>
      </c>
      <c r="R513" s="7">
        <f>IF(L513=1,IF(M513&lt;=Summary!$B$5,1,0),"")</f>
        <v>1</v>
      </c>
      <c r="S513" s="1" t="str">
        <f t="shared" si="47"/>
        <v>2026-01</v>
      </c>
    </row>
    <row r="514" spans="1:19" ht="23" customHeight="1">
      <c r="A514" s="1" t="s">
        <v>571</v>
      </c>
      <c r="B514" s="4">
        <v>46024</v>
      </c>
      <c r="C514" s="1" t="s">
        <v>19</v>
      </c>
      <c r="D514" s="1" t="s">
        <v>54</v>
      </c>
      <c r="E514" s="5">
        <v>45000</v>
      </c>
      <c r="F514" s="1">
        <v>0</v>
      </c>
      <c r="G514" s="4">
        <v>46024</v>
      </c>
      <c r="H514" s="4">
        <v>46025</v>
      </c>
      <c r="I514" s="4">
        <v>46026</v>
      </c>
      <c r="J514" s="4"/>
      <c r="K514" s="1" t="s">
        <v>63</v>
      </c>
      <c r="L514" s="7">
        <f t="shared" si="42"/>
        <v>1</v>
      </c>
      <c r="M514" s="7">
        <f t="shared" si="43"/>
        <v>2</v>
      </c>
      <c r="N514" s="7">
        <f t="shared" si="44"/>
        <v>0</v>
      </c>
      <c r="O514" s="7">
        <f t="shared" si="45"/>
        <v>1</v>
      </c>
      <c r="P514" s="7">
        <f t="shared" si="46"/>
        <v>1</v>
      </c>
      <c r="Q514" s="7" t="str">
        <f>IF(K514="Open",Summary!$B$6-B514,"")</f>
        <v/>
      </c>
      <c r="R514" s="7">
        <f>IF(L514=1,IF(M514&lt;=Summary!$B$5,1,0),"")</f>
        <v>1</v>
      </c>
      <c r="S514" s="1" t="str">
        <f t="shared" si="47"/>
        <v>2026-01</v>
      </c>
    </row>
    <row r="515" spans="1:19" ht="23" customHeight="1">
      <c r="A515" s="1" t="s">
        <v>572</v>
      </c>
      <c r="B515" s="4">
        <v>46062</v>
      </c>
      <c r="C515" s="1" t="s">
        <v>18</v>
      </c>
      <c r="D515" s="1" t="s">
        <v>71</v>
      </c>
      <c r="E515" s="5">
        <v>14000</v>
      </c>
      <c r="F515" s="1">
        <v>0</v>
      </c>
      <c r="G515" s="4">
        <v>46062</v>
      </c>
      <c r="H515" s="4">
        <v>46066</v>
      </c>
      <c r="I515" s="4">
        <v>46067</v>
      </c>
      <c r="J515" s="4"/>
      <c r="K515" s="1" t="s">
        <v>63</v>
      </c>
      <c r="L515" s="7">
        <f t="shared" si="42"/>
        <v>1</v>
      </c>
      <c r="M515" s="7">
        <f t="shared" si="43"/>
        <v>5</v>
      </c>
      <c r="N515" s="7">
        <f t="shared" si="44"/>
        <v>0</v>
      </c>
      <c r="O515" s="7">
        <f t="shared" si="45"/>
        <v>4</v>
      </c>
      <c r="P515" s="7">
        <f t="shared" si="46"/>
        <v>1</v>
      </c>
      <c r="Q515" s="7" t="str">
        <f>IF(K515="Open",Summary!$B$6-B515,"")</f>
        <v/>
      </c>
      <c r="R515" s="7">
        <f>IF(L515=1,IF(M515&lt;=Summary!$B$5,1,0),"")</f>
        <v>1</v>
      </c>
      <c r="S515" s="1" t="str">
        <f t="shared" si="47"/>
        <v>2026-02</v>
      </c>
    </row>
    <row r="516" spans="1:19" ht="23" customHeight="1">
      <c r="A516" s="1" t="s">
        <v>573</v>
      </c>
      <c r="B516" s="4">
        <v>46101</v>
      </c>
      <c r="C516" s="1" t="s">
        <v>18</v>
      </c>
      <c r="D516" s="1" t="s">
        <v>65</v>
      </c>
      <c r="E516" s="5">
        <v>18000</v>
      </c>
      <c r="F516" s="1">
        <v>0</v>
      </c>
      <c r="G516" s="4">
        <v>46103</v>
      </c>
      <c r="H516" s="4">
        <v>46107</v>
      </c>
      <c r="I516" s="4">
        <v>46110</v>
      </c>
      <c r="J516" s="4"/>
      <c r="K516" s="1" t="s">
        <v>63</v>
      </c>
      <c r="L516" s="7">
        <f t="shared" si="42"/>
        <v>1</v>
      </c>
      <c r="M516" s="7">
        <f t="shared" si="43"/>
        <v>9</v>
      </c>
      <c r="N516" s="7">
        <f t="shared" si="44"/>
        <v>2</v>
      </c>
      <c r="O516" s="7">
        <f t="shared" si="45"/>
        <v>4</v>
      </c>
      <c r="P516" s="7">
        <f t="shared" si="46"/>
        <v>3</v>
      </c>
      <c r="Q516" s="7" t="str">
        <f>IF(K516="Open",Summary!$B$6-B516,"")</f>
        <v/>
      </c>
      <c r="R516" s="7">
        <f>IF(L516=1,IF(M516&lt;=Summary!$B$5,1,0),"")</f>
        <v>0</v>
      </c>
      <c r="S516" s="1" t="str">
        <f t="shared" si="47"/>
        <v>2026-03</v>
      </c>
    </row>
    <row r="517" spans="1:19" ht="23" customHeight="1">
      <c r="A517" s="1" t="s">
        <v>574</v>
      </c>
      <c r="B517" s="4">
        <v>46083</v>
      </c>
      <c r="C517" s="1" t="s">
        <v>18</v>
      </c>
      <c r="D517" s="1" t="s">
        <v>62</v>
      </c>
      <c r="E517" s="5">
        <v>26000</v>
      </c>
      <c r="F517" s="1">
        <v>0</v>
      </c>
      <c r="G517" s="4">
        <v>46084</v>
      </c>
      <c r="H517" s="4">
        <v>46092</v>
      </c>
      <c r="I517" s="4">
        <v>46095</v>
      </c>
      <c r="J517" s="4"/>
      <c r="K517" s="1" t="s">
        <v>55</v>
      </c>
      <c r="L517" s="7">
        <f t="shared" ref="L517:L580" si="48">IF(OR(K517="Approved",K517="Declined"),1,0)</f>
        <v>1</v>
      </c>
      <c r="M517" s="7">
        <f t="shared" ref="M517:M580" si="49">IF(L517=1,I517-B517,"")</f>
        <v>12</v>
      </c>
      <c r="N517" s="7">
        <f t="shared" ref="N517:N580" si="50">IF(L517=1,G517-B517,"")</f>
        <v>1</v>
      </c>
      <c r="O517" s="7">
        <f t="shared" ref="O517:O580" si="51">IF(L517=1,H517-G517,"")</f>
        <v>8</v>
      </c>
      <c r="P517" s="7">
        <f t="shared" ref="P517:P580" si="52">IF(L517=1,I517-H517,"")</f>
        <v>3</v>
      </c>
      <c r="Q517" s="7" t="str">
        <f>IF(K517="Open",Summary!$B$6-B517,"")</f>
        <v/>
      </c>
      <c r="R517" s="7">
        <f>IF(L517=1,IF(M517&lt;=Summary!$B$5,1,0),"")</f>
        <v>0</v>
      </c>
      <c r="S517" s="1" t="str">
        <f t="shared" ref="S517:S580" si="53">TEXT(B517,"yyyy-mm")</f>
        <v>2026-03</v>
      </c>
    </row>
    <row r="518" spans="1:19" ht="23" customHeight="1">
      <c r="A518" s="1" t="s">
        <v>575</v>
      </c>
      <c r="B518" s="4">
        <v>46109</v>
      </c>
      <c r="C518" s="1" t="s">
        <v>19</v>
      </c>
      <c r="D518" s="1" t="s">
        <v>54</v>
      </c>
      <c r="E518" s="5">
        <v>28000</v>
      </c>
      <c r="F518" s="1">
        <v>1</v>
      </c>
      <c r="G518" s="4"/>
      <c r="H518" s="4"/>
      <c r="I518" s="4"/>
      <c r="J518" s="4"/>
      <c r="K518" s="1" t="s">
        <v>69</v>
      </c>
      <c r="L518" s="7">
        <f t="shared" si="48"/>
        <v>0</v>
      </c>
      <c r="M518" s="7" t="str">
        <f t="shared" si="49"/>
        <v/>
      </c>
      <c r="N518" s="7" t="str">
        <f t="shared" si="50"/>
        <v/>
      </c>
      <c r="O518" s="7" t="str">
        <f t="shared" si="51"/>
        <v/>
      </c>
      <c r="P518" s="7" t="str">
        <f t="shared" si="52"/>
        <v/>
      </c>
      <c r="Q518" s="7">
        <f>IF(K518="Open",Summary!$B$6-B518,"")</f>
        <v>3</v>
      </c>
      <c r="R518" s="7" t="str">
        <f>IF(L518=1,IF(M518&lt;=Summary!$B$5,1,0),"")</f>
        <v/>
      </c>
      <c r="S518" s="1" t="str">
        <f t="shared" si="53"/>
        <v>2026-03</v>
      </c>
    </row>
    <row r="519" spans="1:19" ht="23" customHeight="1">
      <c r="A519" s="1" t="s">
        <v>576</v>
      </c>
      <c r="B519" s="4">
        <v>46082</v>
      </c>
      <c r="C519" s="1" t="s">
        <v>19</v>
      </c>
      <c r="D519" s="1" t="s">
        <v>54</v>
      </c>
      <c r="E519" s="5">
        <v>29000</v>
      </c>
      <c r="F519" s="1">
        <v>1</v>
      </c>
      <c r="G519" s="4">
        <v>46086</v>
      </c>
      <c r="H519" s="4">
        <v>46090</v>
      </c>
      <c r="I519" s="4">
        <v>46093</v>
      </c>
      <c r="J519" s="4"/>
      <c r="K519" s="1" t="s">
        <v>63</v>
      </c>
      <c r="L519" s="7">
        <f t="shared" si="48"/>
        <v>1</v>
      </c>
      <c r="M519" s="7">
        <f t="shared" si="49"/>
        <v>11</v>
      </c>
      <c r="N519" s="7">
        <f t="shared" si="50"/>
        <v>4</v>
      </c>
      <c r="O519" s="7">
        <f t="shared" si="51"/>
        <v>4</v>
      </c>
      <c r="P519" s="7">
        <f t="shared" si="52"/>
        <v>3</v>
      </c>
      <c r="Q519" s="7" t="str">
        <f>IF(K519="Open",Summary!$B$6-B519,"")</f>
        <v/>
      </c>
      <c r="R519" s="7">
        <f>IF(L519=1,IF(M519&lt;=Summary!$B$5,1,0),"")</f>
        <v>0</v>
      </c>
      <c r="S519" s="1" t="str">
        <f t="shared" si="53"/>
        <v>2026-03</v>
      </c>
    </row>
    <row r="520" spans="1:19" ht="23" customHeight="1">
      <c r="A520" s="1" t="s">
        <v>577</v>
      </c>
      <c r="B520" s="4">
        <v>46037</v>
      </c>
      <c r="C520" s="1" t="s">
        <v>18</v>
      </c>
      <c r="D520" s="1" t="s">
        <v>71</v>
      </c>
      <c r="E520" s="5">
        <v>34000</v>
      </c>
      <c r="F520" s="1">
        <v>0</v>
      </c>
      <c r="G520" s="4">
        <v>46039</v>
      </c>
      <c r="H520" s="4">
        <v>46040</v>
      </c>
      <c r="I520" s="4">
        <v>46042</v>
      </c>
      <c r="J520" s="4"/>
      <c r="K520" s="1" t="s">
        <v>55</v>
      </c>
      <c r="L520" s="7">
        <f t="shared" si="48"/>
        <v>1</v>
      </c>
      <c r="M520" s="7">
        <f t="shared" si="49"/>
        <v>5</v>
      </c>
      <c r="N520" s="7">
        <f t="shared" si="50"/>
        <v>2</v>
      </c>
      <c r="O520" s="7">
        <f t="shared" si="51"/>
        <v>1</v>
      </c>
      <c r="P520" s="7">
        <f t="shared" si="52"/>
        <v>2</v>
      </c>
      <c r="Q520" s="7" t="str">
        <f>IF(K520="Open",Summary!$B$6-B520,"")</f>
        <v/>
      </c>
      <c r="R520" s="7">
        <f>IF(L520=1,IF(M520&lt;=Summary!$B$5,1,0),"")</f>
        <v>1</v>
      </c>
      <c r="S520" s="1" t="str">
        <f t="shared" si="53"/>
        <v>2026-01</v>
      </c>
    </row>
    <row r="521" spans="1:19" ht="23" customHeight="1">
      <c r="A521" s="1" t="s">
        <v>578</v>
      </c>
      <c r="B521" s="4">
        <v>46104</v>
      </c>
      <c r="C521" s="1" t="s">
        <v>18</v>
      </c>
      <c r="D521" s="1" t="s">
        <v>59</v>
      </c>
      <c r="E521" s="5">
        <v>16000</v>
      </c>
      <c r="F521" s="1">
        <v>0</v>
      </c>
      <c r="G521" s="4">
        <v>46104</v>
      </c>
      <c r="H521" s="4">
        <v>46110</v>
      </c>
      <c r="I521" s="4">
        <v>46111</v>
      </c>
      <c r="J521" s="4"/>
      <c r="K521" s="1" t="s">
        <v>63</v>
      </c>
      <c r="L521" s="7">
        <f t="shared" si="48"/>
        <v>1</v>
      </c>
      <c r="M521" s="7">
        <f t="shared" si="49"/>
        <v>7</v>
      </c>
      <c r="N521" s="7">
        <f t="shared" si="50"/>
        <v>0</v>
      </c>
      <c r="O521" s="7">
        <f t="shared" si="51"/>
        <v>6</v>
      </c>
      <c r="P521" s="7">
        <f t="shared" si="52"/>
        <v>1</v>
      </c>
      <c r="Q521" s="7" t="str">
        <f>IF(K521="Open",Summary!$B$6-B521,"")</f>
        <v/>
      </c>
      <c r="R521" s="7">
        <f>IF(L521=1,IF(M521&lt;=Summary!$B$5,1,0),"")</f>
        <v>1</v>
      </c>
      <c r="S521" s="1" t="str">
        <f t="shared" si="53"/>
        <v>2026-03</v>
      </c>
    </row>
    <row r="522" spans="1:19" ht="23" customHeight="1">
      <c r="A522" s="1" t="s">
        <v>579</v>
      </c>
      <c r="B522" s="4">
        <v>46112</v>
      </c>
      <c r="C522" s="1" t="s">
        <v>18</v>
      </c>
      <c r="D522" s="1" t="s">
        <v>65</v>
      </c>
      <c r="E522" s="5">
        <v>13000</v>
      </c>
      <c r="F522" s="1">
        <v>1</v>
      </c>
      <c r="G522" s="4"/>
      <c r="H522" s="4"/>
      <c r="I522" s="4"/>
      <c r="J522" s="4"/>
      <c r="K522" s="1" t="s">
        <v>69</v>
      </c>
      <c r="L522" s="7">
        <f t="shared" si="48"/>
        <v>0</v>
      </c>
      <c r="M522" s="7" t="str">
        <f t="shared" si="49"/>
        <v/>
      </c>
      <c r="N522" s="7" t="str">
        <f t="shared" si="50"/>
        <v/>
      </c>
      <c r="O522" s="7" t="str">
        <f t="shared" si="51"/>
        <v/>
      </c>
      <c r="P522" s="7" t="str">
        <f t="shared" si="52"/>
        <v/>
      </c>
      <c r="Q522" s="7">
        <f>IF(K522="Open",Summary!$B$6-B522,"")</f>
        <v>0</v>
      </c>
      <c r="R522" s="7" t="str">
        <f>IF(L522=1,IF(M522&lt;=Summary!$B$5,1,0),"")</f>
        <v/>
      </c>
      <c r="S522" s="1" t="str">
        <f t="shared" si="53"/>
        <v>2026-03</v>
      </c>
    </row>
    <row r="523" spans="1:19" ht="23" customHeight="1">
      <c r="A523" s="1" t="s">
        <v>580</v>
      </c>
      <c r="B523" s="4">
        <v>46094</v>
      </c>
      <c r="C523" s="1" t="s">
        <v>18</v>
      </c>
      <c r="D523" s="1" t="s">
        <v>62</v>
      </c>
      <c r="E523" s="5">
        <v>27000</v>
      </c>
      <c r="F523" s="1">
        <v>1</v>
      </c>
      <c r="G523" s="4">
        <v>46100</v>
      </c>
      <c r="H523" s="4">
        <v>46107</v>
      </c>
      <c r="I523" s="4">
        <v>46108</v>
      </c>
      <c r="J523" s="4"/>
      <c r="K523" s="1" t="s">
        <v>55</v>
      </c>
      <c r="L523" s="7">
        <f t="shared" si="48"/>
        <v>1</v>
      </c>
      <c r="M523" s="7">
        <f t="shared" si="49"/>
        <v>14</v>
      </c>
      <c r="N523" s="7">
        <f t="shared" si="50"/>
        <v>6</v>
      </c>
      <c r="O523" s="7">
        <f t="shared" si="51"/>
        <v>7</v>
      </c>
      <c r="P523" s="7">
        <f t="shared" si="52"/>
        <v>1</v>
      </c>
      <c r="Q523" s="7" t="str">
        <f>IF(K523="Open",Summary!$B$6-B523,"")</f>
        <v/>
      </c>
      <c r="R523" s="7">
        <f>IF(L523=1,IF(M523&lt;=Summary!$B$5,1,0),"")</f>
        <v>0</v>
      </c>
      <c r="S523" s="1" t="str">
        <f t="shared" si="53"/>
        <v>2026-03</v>
      </c>
    </row>
    <row r="524" spans="1:19" ht="23" customHeight="1">
      <c r="A524" s="1" t="s">
        <v>581</v>
      </c>
      <c r="B524" s="4">
        <v>46110</v>
      </c>
      <c r="C524" s="1" t="s">
        <v>18</v>
      </c>
      <c r="D524" s="1" t="s">
        <v>71</v>
      </c>
      <c r="E524" s="5">
        <v>36000</v>
      </c>
      <c r="F524" s="1">
        <v>0</v>
      </c>
      <c r="G524" s="4">
        <v>46112</v>
      </c>
      <c r="H524" s="4"/>
      <c r="I524" s="4"/>
      <c r="J524" s="4"/>
      <c r="K524" s="1" t="s">
        <v>69</v>
      </c>
      <c r="L524" s="7">
        <f t="shared" si="48"/>
        <v>0</v>
      </c>
      <c r="M524" s="7" t="str">
        <f t="shared" si="49"/>
        <v/>
      </c>
      <c r="N524" s="7" t="str">
        <f t="shared" si="50"/>
        <v/>
      </c>
      <c r="O524" s="7" t="str">
        <f t="shared" si="51"/>
        <v/>
      </c>
      <c r="P524" s="7" t="str">
        <f t="shared" si="52"/>
        <v/>
      </c>
      <c r="Q524" s="7">
        <f>IF(K524="Open",Summary!$B$6-B524,"")</f>
        <v>2</v>
      </c>
      <c r="R524" s="7" t="str">
        <f>IF(L524=1,IF(M524&lt;=Summary!$B$5,1,0),"")</f>
        <v/>
      </c>
      <c r="S524" s="1" t="str">
        <f t="shared" si="53"/>
        <v>2026-03</v>
      </c>
    </row>
    <row r="525" spans="1:19" ht="23" customHeight="1">
      <c r="A525" s="1" t="s">
        <v>582</v>
      </c>
      <c r="B525" s="4">
        <v>46059</v>
      </c>
      <c r="C525" s="1" t="s">
        <v>19</v>
      </c>
      <c r="D525" s="1" t="s">
        <v>54</v>
      </c>
      <c r="E525" s="5">
        <v>47000</v>
      </c>
      <c r="F525" s="1">
        <v>0</v>
      </c>
      <c r="G525" s="4">
        <v>46061</v>
      </c>
      <c r="H525" s="4">
        <v>46067</v>
      </c>
      <c r="I525" s="4">
        <v>46070</v>
      </c>
      <c r="J525" s="4"/>
      <c r="K525" s="1" t="s">
        <v>55</v>
      </c>
      <c r="L525" s="7">
        <f t="shared" si="48"/>
        <v>1</v>
      </c>
      <c r="M525" s="7">
        <f t="shared" si="49"/>
        <v>11</v>
      </c>
      <c r="N525" s="7">
        <f t="shared" si="50"/>
        <v>2</v>
      </c>
      <c r="O525" s="7">
        <f t="shared" si="51"/>
        <v>6</v>
      </c>
      <c r="P525" s="7">
        <f t="shared" si="52"/>
        <v>3</v>
      </c>
      <c r="Q525" s="7" t="str">
        <f>IF(K525="Open",Summary!$B$6-B525,"")</f>
        <v/>
      </c>
      <c r="R525" s="7">
        <f>IF(L525=1,IF(M525&lt;=Summary!$B$5,1,0),"")</f>
        <v>0</v>
      </c>
      <c r="S525" s="1" t="str">
        <f t="shared" si="53"/>
        <v>2026-02</v>
      </c>
    </row>
    <row r="526" spans="1:19" ht="23" customHeight="1">
      <c r="A526" s="1" t="s">
        <v>583</v>
      </c>
      <c r="B526" s="4">
        <v>46072</v>
      </c>
      <c r="C526" s="1" t="s">
        <v>19</v>
      </c>
      <c r="D526" s="1" t="s">
        <v>54</v>
      </c>
      <c r="E526" s="5">
        <v>10000</v>
      </c>
      <c r="F526" s="1">
        <v>0</v>
      </c>
      <c r="G526" s="4">
        <v>46072</v>
      </c>
      <c r="H526" s="4">
        <v>46078</v>
      </c>
      <c r="I526" s="4">
        <v>46080</v>
      </c>
      <c r="J526" s="4"/>
      <c r="K526" s="1" t="s">
        <v>63</v>
      </c>
      <c r="L526" s="7">
        <f t="shared" si="48"/>
        <v>1</v>
      </c>
      <c r="M526" s="7">
        <f t="shared" si="49"/>
        <v>8</v>
      </c>
      <c r="N526" s="7">
        <f t="shared" si="50"/>
        <v>0</v>
      </c>
      <c r="O526" s="7">
        <f t="shared" si="51"/>
        <v>6</v>
      </c>
      <c r="P526" s="7">
        <f t="shared" si="52"/>
        <v>2</v>
      </c>
      <c r="Q526" s="7" t="str">
        <f>IF(K526="Open",Summary!$B$6-B526,"")</f>
        <v/>
      </c>
      <c r="R526" s="7">
        <f>IF(L526=1,IF(M526&lt;=Summary!$B$5,1,0),"")</f>
        <v>0</v>
      </c>
      <c r="S526" s="1" t="str">
        <f t="shared" si="53"/>
        <v>2026-02</v>
      </c>
    </row>
    <row r="527" spans="1:19" ht="23" customHeight="1">
      <c r="A527" s="1" t="s">
        <v>584</v>
      </c>
      <c r="B527" s="4">
        <v>46079</v>
      </c>
      <c r="C527" s="1" t="s">
        <v>18</v>
      </c>
      <c r="D527" s="1" t="s">
        <v>71</v>
      </c>
      <c r="E527" s="5">
        <v>34000</v>
      </c>
      <c r="F527" s="1">
        <v>0</v>
      </c>
      <c r="G527" s="4">
        <v>46079</v>
      </c>
      <c r="H527" s="4">
        <v>46080</v>
      </c>
      <c r="I527" s="4">
        <v>46082</v>
      </c>
      <c r="J527" s="4"/>
      <c r="K527" s="1" t="s">
        <v>55</v>
      </c>
      <c r="L527" s="7">
        <f t="shared" si="48"/>
        <v>1</v>
      </c>
      <c r="M527" s="7">
        <f t="shared" si="49"/>
        <v>3</v>
      </c>
      <c r="N527" s="7">
        <f t="shared" si="50"/>
        <v>0</v>
      </c>
      <c r="O527" s="7">
        <f t="shared" si="51"/>
        <v>1</v>
      </c>
      <c r="P527" s="7">
        <f t="shared" si="52"/>
        <v>2</v>
      </c>
      <c r="Q527" s="7" t="str">
        <f>IF(K527="Open",Summary!$B$6-B527,"")</f>
        <v/>
      </c>
      <c r="R527" s="7">
        <f>IF(L527=1,IF(M527&lt;=Summary!$B$5,1,0),"")</f>
        <v>1</v>
      </c>
      <c r="S527" s="1" t="str">
        <f t="shared" si="53"/>
        <v>2026-02</v>
      </c>
    </row>
    <row r="528" spans="1:19" ht="23" customHeight="1">
      <c r="A528" s="1" t="s">
        <v>585</v>
      </c>
      <c r="B528" s="4">
        <v>46086</v>
      </c>
      <c r="C528" s="1" t="s">
        <v>19</v>
      </c>
      <c r="D528" s="1" t="s">
        <v>54</v>
      </c>
      <c r="E528" s="5">
        <v>42000</v>
      </c>
      <c r="F528" s="1">
        <v>0</v>
      </c>
      <c r="G528" s="4">
        <v>46088</v>
      </c>
      <c r="H528" s="4">
        <v>46089</v>
      </c>
      <c r="I528" s="4">
        <v>46090</v>
      </c>
      <c r="J528" s="4"/>
      <c r="K528" s="1" t="s">
        <v>55</v>
      </c>
      <c r="L528" s="7">
        <f t="shared" si="48"/>
        <v>1</v>
      </c>
      <c r="M528" s="7">
        <f t="shared" si="49"/>
        <v>4</v>
      </c>
      <c r="N528" s="7">
        <f t="shared" si="50"/>
        <v>2</v>
      </c>
      <c r="O528" s="7">
        <f t="shared" si="51"/>
        <v>1</v>
      </c>
      <c r="P528" s="7">
        <f t="shared" si="52"/>
        <v>1</v>
      </c>
      <c r="Q528" s="7" t="str">
        <f>IF(K528="Open",Summary!$B$6-B528,"")</f>
        <v/>
      </c>
      <c r="R528" s="7">
        <f>IF(L528=1,IF(M528&lt;=Summary!$B$5,1,0),"")</f>
        <v>1</v>
      </c>
      <c r="S528" s="1" t="str">
        <f t="shared" si="53"/>
        <v>2026-03</v>
      </c>
    </row>
    <row r="529" spans="1:19" ht="23" customHeight="1">
      <c r="A529" s="1" t="s">
        <v>586</v>
      </c>
      <c r="B529" s="4">
        <v>46111</v>
      </c>
      <c r="C529" s="1" t="s">
        <v>18</v>
      </c>
      <c r="D529" s="1" t="s">
        <v>65</v>
      </c>
      <c r="E529" s="5">
        <v>18000</v>
      </c>
      <c r="F529" s="1">
        <v>0</v>
      </c>
      <c r="G529" s="4"/>
      <c r="H529" s="4"/>
      <c r="I529" s="4"/>
      <c r="J529" s="4"/>
      <c r="K529" s="1" t="s">
        <v>69</v>
      </c>
      <c r="L529" s="7">
        <f t="shared" si="48"/>
        <v>0</v>
      </c>
      <c r="M529" s="7" t="str">
        <f t="shared" si="49"/>
        <v/>
      </c>
      <c r="N529" s="7" t="str">
        <f t="shared" si="50"/>
        <v/>
      </c>
      <c r="O529" s="7" t="str">
        <f t="shared" si="51"/>
        <v/>
      </c>
      <c r="P529" s="7" t="str">
        <f t="shared" si="52"/>
        <v/>
      </c>
      <c r="Q529" s="7">
        <f>IF(K529="Open",Summary!$B$6-B529,"")</f>
        <v>1</v>
      </c>
      <c r="R529" s="7" t="str">
        <f>IF(L529=1,IF(M529&lt;=Summary!$B$5,1,0),"")</f>
        <v/>
      </c>
      <c r="S529" s="1" t="str">
        <f t="shared" si="53"/>
        <v>2026-03</v>
      </c>
    </row>
    <row r="530" spans="1:19" ht="23" customHeight="1">
      <c r="A530" s="1" t="s">
        <v>587</v>
      </c>
      <c r="B530" s="4">
        <v>46104</v>
      </c>
      <c r="C530" s="1" t="s">
        <v>19</v>
      </c>
      <c r="D530" s="1" t="s">
        <v>54</v>
      </c>
      <c r="E530" s="5">
        <v>42000</v>
      </c>
      <c r="F530" s="1">
        <v>1</v>
      </c>
      <c r="G530" s="4"/>
      <c r="H530" s="4"/>
      <c r="I530" s="4"/>
      <c r="J530" s="4">
        <v>46111</v>
      </c>
      <c r="K530" s="1" t="s">
        <v>86</v>
      </c>
      <c r="L530" s="7">
        <f t="shared" si="48"/>
        <v>0</v>
      </c>
      <c r="M530" s="7" t="str">
        <f t="shared" si="49"/>
        <v/>
      </c>
      <c r="N530" s="7" t="str">
        <f t="shared" si="50"/>
        <v/>
      </c>
      <c r="O530" s="7" t="str">
        <f t="shared" si="51"/>
        <v/>
      </c>
      <c r="P530" s="7" t="str">
        <f t="shared" si="52"/>
        <v/>
      </c>
      <c r="Q530" s="7" t="str">
        <f>IF(K530="Open",Summary!$B$6-B530,"")</f>
        <v/>
      </c>
      <c r="R530" s="7" t="str">
        <f>IF(L530=1,IF(M530&lt;=Summary!$B$5,1,0),"")</f>
        <v/>
      </c>
      <c r="S530" s="1" t="str">
        <f t="shared" si="53"/>
        <v>2026-03</v>
      </c>
    </row>
    <row r="531" spans="1:19" ht="23" customHeight="1">
      <c r="A531" s="1" t="s">
        <v>588</v>
      </c>
      <c r="B531" s="4">
        <v>46049</v>
      </c>
      <c r="C531" s="1" t="s">
        <v>18</v>
      </c>
      <c r="D531" s="1" t="s">
        <v>71</v>
      </c>
      <c r="E531" s="5">
        <v>35000</v>
      </c>
      <c r="F531" s="1">
        <v>0</v>
      </c>
      <c r="G531" s="4">
        <v>46051</v>
      </c>
      <c r="H531" s="4">
        <v>46057</v>
      </c>
      <c r="I531" s="4">
        <v>46059</v>
      </c>
      <c r="J531" s="4"/>
      <c r="K531" s="1" t="s">
        <v>63</v>
      </c>
      <c r="L531" s="7">
        <f t="shared" si="48"/>
        <v>1</v>
      </c>
      <c r="M531" s="7">
        <f t="shared" si="49"/>
        <v>10</v>
      </c>
      <c r="N531" s="7">
        <f t="shared" si="50"/>
        <v>2</v>
      </c>
      <c r="O531" s="7">
        <f t="shared" si="51"/>
        <v>6</v>
      </c>
      <c r="P531" s="7">
        <f t="shared" si="52"/>
        <v>2</v>
      </c>
      <c r="Q531" s="7" t="str">
        <f>IF(K531="Open",Summary!$B$6-B531,"")</f>
        <v/>
      </c>
      <c r="R531" s="7">
        <f>IF(L531=1,IF(M531&lt;=Summary!$B$5,1,0),"")</f>
        <v>0</v>
      </c>
      <c r="S531" s="1" t="str">
        <f t="shared" si="53"/>
        <v>2026-01</v>
      </c>
    </row>
    <row r="532" spans="1:19" ht="23" customHeight="1">
      <c r="A532" s="1" t="s">
        <v>589</v>
      </c>
      <c r="B532" s="4">
        <v>46029</v>
      </c>
      <c r="C532" s="1" t="s">
        <v>18</v>
      </c>
      <c r="D532" s="1" t="s">
        <v>65</v>
      </c>
      <c r="E532" s="5">
        <v>17000</v>
      </c>
      <c r="F532" s="1">
        <v>1</v>
      </c>
      <c r="G532" s="4">
        <v>46035</v>
      </c>
      <c r="H532" s="4">
        <v>46039</v>
      </c>
      <c r="I532" s="4">
        <v>46041</v>
      </c>
      <c r="J532" s="4"/>
      <c r="K532" s="1" t="s">
        <v>55</v>
      </c>
      <c r="L532" s="7">
        <f t="shared" si="48"/>
        <v>1</v>
      </c>
      <c r="M532" s="7">
        <f t="shared" si="49"/>
        <v>12</v>
      </c>
      <c r="N532" s="7">
        <f t="shared" si="50"/>
        <v>6</v>
      </c>
      <c r="O532" s="7">
        <f t="shared" si="51"/>
        <v>4</v>
      </c>
      <c r="P532" s="7">
        <f t="shared" si="52"/>
        <v>2</v>
      </c>
      <c r="Q532" s="7" t="str">
        <f>IF(K532="Open",Summary!$B$6-B532,"")</f>
        <v/>
      </c>
      <c r="R532" s="7">
        <f>IF(L532=1,IF(M532&lt;=Summary!$B$5,1,0),"")</f>
        <v>0</v>
      </c>
      <c r="S532" s="1" t="str">
        <f t="shared" si="53"/>
        <v>2026-01</v>
      </c>
    </row>
    <row r="533" spans="1:19" ht="23" customHeight="1">
      <c r="A533" s="1" t="s">
        <v>590</v>
      </c>
      <c r="B533" s="4">
        <v>46025</v>
      </c>
      <c r="C533" s="1" t="s">
        <v>18</v>
      </c>
      <c r="D533" s="1" t="s">
        <v>59</v>
      </c>
      <c r="E533" s="5">
        <v>39000</v>
      </c>
      <c r="F533" s="1">
        <v>0</v>
      </c>
      <c r="G533" s="4">
        <v>46027</v>
      </c>
      <c r="H533" s="4">
        <v>46033</v>
      </c>
      <c r="I533" s="4">
        <v>46036</v>
      </c>
      <c r="J533" s="4"/>
      <c r="K533" s="1" t="s">
        <v>63</v>
      </c>
      <c r="L533" s="7">
        <f t="shared" si="48"/>
        <v>1</v>
      </c>
      <c r="M533" s="7">
        <f t="shared" si="49"/>
        <v>11</v>
      </c>
      <c r="N533" s="7">
        <f t="shared" si="50"/>
        <v>2</v>
      </c>
      <c r="O533" s="7">
        <f t="shared" si="51"/>
        <v>6</v>
      </c>
      <c r="P533" s="7">
        <f t="shared" si="52"/>
        <v>3</v>
      </c>
      <c r="Q533" s="7" t="str">
        <f>IF(K533="Open",Summary!$B$6-B533,"")</f>
        <v/>
      </c>
      <c r="R533" s="7">
        <f>IF(L533=1,IF(M533&lt;=Summary!$B$5,1,0),"")</f>
        <v>0</v>
      </c>
      <c r="S533" s="1" t="str">
        <f t="shared" si="53"/>
        <v>2026-01</v>
      </c>
    </row>
    <row r="534" spans="1:19" ht="23" customHeight="1">
      <c r="A534" s="1" t="s">
        <v>591</v>
      </c>
      <c r="B534" s="4">
        <v>46052</v>
      </c>
      <c r="C534" s="1" t="s">
        <v>18</v>
      </c>
      <c r="D534" s="1" t="s">
        <v>65</v>
      </c>
      <c r="E534" s="5">
        <v>32000</v>
      </c>
      <c r="F534" s="1">
        <v>0</v>
      </c>
      <c r="G534" s="4">
        <v>46053</v>
      </c>
      <c r="H534" s="4">
        <v>46056</v>
      </c>
      <c r="I534" s="4">
        <v>46057</v>
      </c>
      <c r="J534" s="4"/>
      <c r="K534" s="1" t="s">
        <v>55</v>
      </c>
      <c r="L534" s="7">
        <f t="shared" si="48"/>
        <v>1</v>
      </c>
      <c r="M534" s="7">
        <f t="shared" si="49"/>
        <v>5</v>
      </c>
      <c r="N534" s="7">
        <f t="shared" si="50"/>
        <v>1</v>
      </c>
      <c r="O534" s="7">
        <f t="shared" si="51"/>
        <v>3</v>
      </c>
      <c r="P534" s="7">
        <f t="shared" si="52"/>
        <v>1</v>
      </c>
      <c r="Q534" s="7" t="str">
        <f>IF(K534="Open",Summary!$B$6-B534,"")</f>
        <v/>
      </c>
      <c r="R534" s="7">
        <f>IF(L534=1,IF(M534&lt;=Summary!$B$5,1,0),"")</f>
        <v>1</v>
      </c>
      <c r="S534" s="1" t="str">
        <f t="shared" si="53"/>
        <v>2026-01</v>
      </c>
    </row>
    <row r="535" spans="1:19" ht="23" customHeight="1">
      <c r="A535" s="1" t="s">
        <v>592</v>
      </c>
      <c r="B535" s="4">
        <v>46103</v>
      </c>
      <c r="C535" s="1" t="s">
        <v>18</v>
      </c>
      <c r="D535" s="1" t="s">
        <v>65</v>
      </c>
      <c r="E535" s="5">
        <v>13000</v>
      </c>
      <c r="F535" s="1">
        <v>0</v>
      </c>
      <c r="G535" s="4">
        <v>46105</v>
      </c>
      <c r="H535" s="4">
        <v>46110</v>
      </c>
      <c r="I535" s="4">
        <v>46111</v>
      </c>
      <c r="J535" s="4"/>
      <c r="K535" s="1" t="s">
        <v>55</v>
      </c>
      <c r="L535" s="7">
        <f t="shared" si="48"/>
        <v>1</v>
      </c>
      <c r="M535" s="7">
        <f t="shared" si="49"/>
        <v>8</v>
      </c>
      <c r="N535" s="7">
        <f t="shared" si="50"/>
        <v>2</v>
      </c>
      <c r="O535" s="7">
        <f t="shared" si="51"/>
        <v>5</v>
      </c>
      <c r="P535" s="7">
        <f t="shared" si="52"/>
        <v>1</v>
      </c>
      <c r="Q535" s="7" t="str">
        <f>IF(K535="Open",Summary!$B$6-B535,"")</f>
        <v/>
      </c>
      <c r="R535" s="7">
        <f>IF(L535=1,IF(M535&lt;=Summary!$B$5,1,0),"")</f>
        <v>0</v>
      </c>
      <c r="S535" s="1" t="str">
        <f t="shared" si="53"/>
        <v>2026-03</v>
      </c>
    </row>
    <row r="536" spans="1:19" ht="23" customHeight="1">
      <c r="A536" s="1" t="s">
        <v>593</v>
      </c>
      <c r="B536" s="4">
        <v>46034</v>
      </c>
      <c r="C536" s="1" t="s">
        <v>18</v>
      </c>
      <c r="D536" s="1" t="s">
        <v>65</v>
      </c>
      <c r="E536" s="5">
        <v>31000</v>
      </c>
      <c r="F536" s="1">
        <v>0</v>
      </c>
      <c r="G536" s="4">
        <v>46034</v>
      </c>
      <c r="H536" s="4">
        <v>46040</v>
      </c>
      <c r="I536" s="4">
        <v>46041</v>
      </c>
      <c r="J536" s="4"/>
      <c r="K536" s="1" t="s">
        <v>55</v>
      </c>
      <c r="L536" s="7">
        <f t="shared" si="48"/>
        <v>1</v>
      </c>
      <c r="M536" s="7">
        <f t="shared" si="49"/>
        <v>7</v>
      </c>
      <c r="N536" s="7">
        <f t="shared" si="50"/>
        <v>0</v>
      </c>
      <c r="O536" s="7">
        <f t="shared" si="51"/>
        <v>6</v>
      </c>
      <c r="P536" s="7">
        <f t="shared" si="52"/>
        <v>1</v>
      </c>
      <c r="Q536" s="7" t="str">
        <f>IF(K536="Open",Summary!$B$6-B536,"")</f>
        <v/>
      </c>
      <c r="R536" s="7">
        <f>IF(L536=1,IF(M536&lt;=Summary!$B$5,1,0),"")</f>
        <v>1</v>
      </c>
      <c r="S536" s="1" t="str">
        <f t="shared" si="53"/>
        <v>2026-01</v>
      </c>
    </row>
    <row r="537" spans="1:19" ht="23" customHeight="1">
      <c r="A537" s="1" t="s">
        <v>594</v>
      </c>
      <c r="B537" s="4">
        <v>46037</v>
      </c>
      <c r="C537" s="1" t="s">
        <v>18</v>
      </c>
      <c r="D537" s="1" t="s">
        <v>65</v>
      </c>
      <c r="E537" s="5">
        <v>9000</v>
      </c>
      <c r="F537" s="1">
        <v>1</v>
      </c>
      <c r="G537" s="4">
        <v>46041</v>
      </c>
      <c r="H537" s="4">
        <v>46046</v>
      </c>
      <c r="I537" s="4">
        <v>46047</v>
      </c>
      <c r="J537" s="4"/>
      <c r="K537" s="1" t="s">
        <v>55</v>
      </c>
      <c r="L537" s="7">
        <f t="shared" si="48"/>
        <v>1</v>
      </c>
      <c r="M537" s="7">
        <f t="shared" si="49"/>
        <v>10</v>
      </c>
      <c r="N537" s="7">
        <f t="shared" si="50"/>
        <v>4</v>
      </c>
      <c r="O537" s="7">
        <f t="shared" si="51"/>
        <v>5</v>
      </c>
      <c r="P537" s="7">
        <f t="shared" si="52"/>
        <v>1</v>
      </c>
      <c r="Q537" s="7" t="str">
        <f>IF(K537="Open",Summary!$B$6-B537,"")</f>
        <v/>
      </c>
      <c r="R537" s="7">
        <f>IF(L537=1,IF(M537&lt;=Summary!$B$5,1,0),"")</f>
        <v>0</v>
      </c>
      <c r="S537" s="1" t="str">
        <f t="shared" si="53"/>
        <v>2026-01</v>
      </c>
    </row>
    <row r="538" spans="1:19" ht="23" customHeight="1">
      <c r="A538" s="1" t="s">
        <v>595</v>
      </c>
      <c r="B538" s="4">
        <v>46087</v>
      </c>
      <c r="C538" s="1" t="s">
        <v>18</v>
      </c>
      <c r="D538" s="1" t="s">
        <v>71</v>
      </c>
      <c r="E538" s="5">
        <v>10000</v>
      </c>
      <c r="F538" s="1">
        <v>0</v>
      </c>
      <c r="G538" s="4">
        <v>46087</v>
      </c>
      <c r="H538" s="4">
        <v>46091</v>
      </c>
      <c r="I538" s="4">
        <v>46093</v>
      </c>
      <c r="J538" s="4"/>
      <c r="K538" s="1" t="s">
        <v>55</v>
      </c>
      <c r="L538" s="7">
        <f t="shared" si="48"/>
        <v>1</v>
      </c>
      <c r="M538" s="7">
        <f t="shared" si="49"/>
        <v>6</v>
      </c>
      <c r="N538" s="7">
        <f t="shared" si="50"/>
        <v>0</v>
      </c>
      <c r="O538" s="7">
        <f t="shared" si="51"/>
        <v>4</v>
      </c>
      <c r="P538" s="7">
        <f t="shared" si="52"/>
        <v>2</v>
      </c>
      <c r="Q538" s="7" t="str">
        <f>IF(K538="Open",Summary!$B$6-B538,"")</f>
        <v/>
      </c>
      <c r="R538" s="7">
        <f>IF(L538=1,IF(M538&lt;=Summary!$B$5,1,0),"")</f>
        <v>1</v>
      </c>
      <c r="S538" s="1" t="str">
        <f t="shared" si="53"/>
        <v>2026-03</v>
      </c>
    </row>
    <row r="539" spans="1:19" ht="23" customHeight="1">
      <c r="A539" s="1" t="s">
        <v>596</v>
      </c>
      <c r="B539" s="4">
        <v>46111</v>
      </c>
      <c r="C539" s="1" t="s">
        <v>19</v>
      </c>
      <c r="D539" s="1" t="s">
        <v>54</v>
      </c>
      <c r="E539" s="5">
        <v>24000</v>
      </c>
      <c r="F539" s="1">
        <v>0</v>
      </c>
      <c r="G539" s="4"/>
      <c r="H539" s="4"/>
      <c r="I539" s="4"/>
      <c r="J539" s="4"/>
      <c r="K539" s="1" t="s">
        <v>69</v>
      </c>
      <c r="L539" s="7">
        <f t="shared" si="48"/>
        <v>0</v>
      </c>
      <c r="M539" s="7" t="str">
        <f t="shared" si="49"/>
        <v/>
      </c>
      <c r="N539" s="7" t="str">
        <f t="shared" si="50"/>
        <v/>
      </c>
      <c r="O539" s="7" t="str">
        <f t="shared" si="51"/>
        <v/>
      </c>
      <c r="P539" s="7" t="str">
        <f t="shared" si="52"/>
        <v/>
      </c>
      <c r="Q539" s="7">
        <f>IF(K539="Open",Summary!$B$6-B539,"")</f>
        <v>1</v>
      </c>
      <c r="R539" s="7" t="str">
        <f>IF(L539=1,IF(M539&lt;=Summary!$B$5,1,0),"")</f>
        <v/>
      </c>
      <c r="S539" s="1" t="str">
        <f t="shared" si="53"/>
        <v>2026-03</v>
      </c>
    </row>
    <row r="540" spans="1:19" ht="23" customHeight="1">
      <c r="A540" s="1" t="s">
        <v>597</v>
      </c>
      <c r="B540" s="4">
        <v>46099</v>
      </c>
      <c r="C540" s="1" t="s">
        <v>18</v>
      </c>
      <c r="D540" s="1" t="s">
        <v>65</v>
      </c>
      <c r="E540" s="5">
        <v>8000</v>
      </c>
      <c r="F540" s="1">
        <v>1</v>
      </c>
      <c r="G540" s="4">
        <v>46108</v>
      </c>
      <c r="H540" s="4">
        <v>46109</v>
      </c>
      <c r="I540" s="4">
        <v>46111</v>
      </c>
      <c r="J540" s="4"/>
      <c r="K540" s="1" t="s">
        <v>55</v>
      </c>
      <c r="L540" s="7">
        <f t="shared" si="48"/>
        <v>1</v>
      </c>
      <c r="M540" s="7">
        <f t="shared" si="49"/>
        <v>12</v>
      </c>
      <c r="N540" s="7">
        <f t="shared" si="50"/>
        <v>9</v>
      </c>
      <c r="O540" s="7">
        <f t="shared" si="51"/>
        <v>1</v>
      </c>
      <c r="P540" s="7">
        <f t="shared" si="52"/>
        <v>2</v>
      </c>
      <c r="Q540" s="7" t="str">
        <f>IF(K540="Open",Summary!$B$6-B540,"")</f>
        <v/>
      </c>
      <c r="R540" s="7">
        <f>IF(L540=1,IF(M540&lt;=Summary!$B$5,1,0),"")</f>
        <v>0</v>
      </c>
      <c r="S540" s="1" t="str">
        <f t="shared" si="53"/>
        <v>2026-03</v>
      </c>
    </row>
    <row r="541" spans="1:19" ht="23" customHeight="1">
      <c r="A541" s="1" t="s">
        <v>598</v>
      </c>
      <c r="B541" s="4">
        <v>46059</v>
      </c>
      <c r="C541" s="1" t="s">
        <v>18</v>
      </c>
      <c r="D541" s="1" t="s">
        <v>59</v>
      </c>
      <c r="E541" s="5">
        <v>42000</v>
      </c>
      <c r="F541" s="1">
        <v>1</v>
      </c>
      <c r="G541" s="4">
        <v>46066</v>
      </c>
      <c r="H541" s="4">
        <v>46067</v>
      </c>
      <c r="I541" s="4">
        <v>46068</v>
      </c>
      <c r="J541" s="4"/>
      <c r="K541" s="1" t="s">
        <v>55</v>
      </c>
      <c r="L541" s="7">
        <f t="shared" si="48"/>
        <v>1</v>
      </c>
      <c r="M541" s="7">
        <f t="shared" si="49"/>
        <v>9</v>
      </c>
      <c r="N541" s="7">
        <f t="shared" si="50"/>
        <v>7</v>
      </c>
      <c r="O541" s="7">
        <f t="shared" si="51"/>
        <v>1</v>
      </c>
      <c r="P541" s="7">
        <f t="shared" si="52"/>
        <v>1</v>
      </c>
      <c r="Q541" s="7" t="str">
        <f>IF(K541="Open",Summary!$B$6-B541,"")</f>
        <v/>
      </c>
      <c r="R541" s="7">
        <f>IF(L541=1,IF(M541&lt;=Summary!$B$5,1,0),"")</f>
        <v>0</v>
      </c>
      <c r="S541" s="1" t="str">
        <f t="shared" si="53"/>
        <v>2026-02</v>
      </c>
    </row>
    <row r="542" spans="1:19" ht="23" customHeight="1">
      <c r="A542" s="1" t="s">
        <v>599</v>
      </c>
      <c r="B542" s="4">
        <v>46030</v>
      </c>
      <c r="C542" s="1" t="s">
        <v>19</v>
      </c>
      <c r="D542" s="1" t="s">
        <v>54</v>
      </c>
      <c r="E542" s="5">
        <v>38000</v>
      </c>
      <c r="F542" s="1">
        <v>0</v>
      </c>
      <c r="G542" s="4">
        <v>46031</v>
      </c>
      <c r="H542" s="4">
        <v>46037</v>
      </c>
      <c r="I542" s="4">
        <v>46038</v>
      </c>
      <c r="J542" s="4"/>
      <c r="K542" s="1" t="s">
        <v>63</v>
      </c>
      <c r="L542" s="7">
        <f t="shared" si="48"/>
        <v>1</v>
      </c>
      <c r="M542" s="7">
        <f t="shared" si="49"/>
        <v>8</v>
      </c>
      <c r="N542" s="7">
        <f t="shared" si="50"/>
        <v>1</v>
      </c>
      <c r="O542" s="7">
        <f t="shared" si="51"/>
        <v>6</v>
      </c>
      <c r="P542" s="7">
        <f t="shared" si="52"/>
        <v>1</v>
      </c>
      <c r="Q542" s="7" t="str">
        <f>IF(K542="Open",Summary!$B$6-B542,"")</f>
        <v/>
      </c>
      <c r="R542" s="7">
        <f>IF(L542=1,IF(M542&lt;=Summary!$B$5,1,0),"")</f>
        <v>0</v>
      </c>
      <c r="S542" s="1" t="str">
        <f t="shared" si="53"/>
        <v>2026-01</v>
      </c>
    </row>
    <row r="543" spans="1:19" ht="23" customHeight="1">
      <c r="A543" s="1" t="s">
        <v>600</v>
      </c>
      <c r="B543" s="4">
        <v>46083</v>
      </c>
      <c r="C543" s="1" t="s">
        <v>18</v>
      </c>
      <c r="D543" s="1" t="s">
        <v>65</v>
      </c>
      <c r="E543" s="5">
        <v>19000</v>
      </c>
      <c r="F543" s="1">
        <v>1</v>
      </c>
      <c r="G543" s="4">
        <v>46087</v>
      </c>
      <c r="H543" s="4">
        <v>46092</v>
      </c>
      <c r="I543" s="4">
        <v>46094</v>
      </c>
      <c r="J543" s="4"/>
      <c r="K543" s="1" t="s">
        <v>55</v>
      </c>
      <c r="L543" s="7">
        <f t="shared" si="48"/>
        <v>1</v>
      </c>
      <c r="M543" s="7">
        <f t="shared" si="49"/>
        <v>11</v>
      </c>
      <c r="N543" s="7">
        <f t="shared" si="50"/>
        <v>4</v>
      </c>
      <c r="O543" s="7">
        <f t="shared" si="51"/>
        <v>5</v>
      </c>
      <c r="P543" s="7">
        <f t="shared" si="52"/>
        <v>2</v>
      </c>
      <c r="Q543" s="7" t="str">
        <f>IF(K543="Open",Summary!$B$6-B543,"")</f>
        <v/>
      </c>
      <c r="R543" s="7">
        <f>IF(L543=1,IF(M543&lt;=Summary!$B$5,1,0),"")</f>
        <v>0</v>
      </c>
      <c r="S543" s="1" t="str">
        <f t="shared" si="53"/>
        <v>2026-03</v>
      </c>
    </row>
    <row r="544" spans="1:19" ht="23" customHeight="1">
      <c r="A544" s="1" t="s">
        <v>601</v>
      </c>
      <c r="B544" s="4">
        <v>46097</v>
      </c>
      <c r="C544" s="1" t="s">
        <v>18</v>
      </c>
      <c r="D544" s="1" t="s">
        <v>65</v>
      </c>
      <c r="E544" s="5">
        <v>26000</v>
      </c>
      <c r="F544" s="1">
        <v>0</v>
      </c>
      <c r="G544" s="4">
        <v>46099</v>
      </c>
      <c r="H544" s="4">
        <v>46103</v>
      </c>
      <c r="I544" s="4">
        <v>46104</v>
      </c>
      <c r="J544" s="4"/>
      <c r="K544" s="1" t="s">
        <v>63</v>
      </c>
      <c r="L544" s="7">
        <f t="shared" si="48"/>
        <v>1</v>
      </c>
      <c r="M544" s="7">
        <f t="shared" si="49"/>
        <v>7</v>
      </c>
      <c r="N544" s="7">
        <f t="shared" si="50"/>
        <v>2</v>
      </c>
      <c r="O544" s="7">
        <f t="shared" si="51"/>
        <v>4</v>
      </c>
      <c r="P544" s="7">
        <f t="shared" si="52"/>
        <v>1</v>
      </c>
      <c r="Q544" s="7" t="str">
        <f>IF(K544="Open",Summary!$B$6-B544,"")</f>
        <v/>
      </c>
      <c r="R544" s="7">
        <f>IF(L544=1,IF(M544&lt;=Summary!$B$5,1,0),"")</f>
        <v>1</v>
      </c>
      <c r="S544" s="1" t="str">
        <f t="shared" si="53"/>
        <v>2026-03</v>
      </c>
    </row>
    <row r="545" spans="1:19" ht="23" customHeight="1">
      <c r="A545" s="1" t="s">
        <v>602</v>
      </c>
      <c r="B545" s="4">
        <v>46025</v>
      </c>
      <c r="C545" s="1" t="s">
        <v>18</v>
      </c>
      <c r="D545" s="1" t="s">
        <v>65</v>
      </c>
      <c r="E545" s="5">
        <v>29000</v>
      </c>
      <c r="F545" s="1">
        <v>1</v>
      </c>
      <c r="G545" s="4">
        <v>46032</v>
      </c>
      <c r="H545" s="4">
        <v>46035</v>
      </c>
      <c r="I545" s="4">
        <v>46038</v>
      </c>
      <c r="J545" s="4"/>
      <c r="K545" s="1" t="s">
        <v>55</v>
      </c>
      <c r="L545" s="7">
        <f t="shared" si="48"/>
        <v>1</v>
      </c>
      <c r="M545" s="7">
        <f t="shared" si="49"/>
        <v>13</v>
      </c>
      <c r="N545" s="7">
        <f t="shared" si="50"/>
        <v>7</v>
      </c>
      <c r="O545" s="7">
        <f t="shared" si="51"/>
        <v>3</v>
      </c>
      <c r="P545" s="7">
        <f t="shared" si="52"/>
        <v>3</v>
      </c>
      <c r="Q545" s="7" t="str">
        <f>IF(K545="Open",Summary!$B$6-B545,"")</f>
        <v/>
      </c>
      <c r="R545" s="7">
        <f>IF(L545=1,IF(M545&lt;=Summary!$B$5,1,0),"")</f>
        <v>0</v>
      </c>
      <c r="S545" s="1" t="str">
        <f t="shared" si="53"/>
        <v>2026-01</v>
      </c>
    </row>
    <row r="546" spans="1:19" ht="23" customHeight="1">
      <c r="A546" s="1" t="s">
        <v>603</v>
      </c>
      <c r="B546" s="4">
        <v>46058</v>
      </c>
      <c r="C546" s="1" t="s">
        <v>18</v>
      </c>
      <c r="D546" s="1" t="s">
        <v>71</v>
      </c>
      <c r="E546" s="5">
        <v>9000</v>
      </c>
      <c r="F546" s="1">
        <v>0</v>
      </c>
      <c r="G546" s="4">
        <v>46058</v>
      </c>
      <c r="H546" s="4">
        <v>46060</v>
      </c>
      <c r="I546" s="4">
        <v>46063</v>
      </c>
      <c r="J546" s="4"/>
      <c r="K546" s="1" t="s">
        <v>55</v>
      </c>
      <c r="L546" s="7">
        <f t="shared" si="48"/>
        <v>1</v>
      </c>
      <c r="M546" s="7">
        <f t="shared" si="49"/>
        <v>5</v>
      </c>
      <c r="N546" s="7">
        <f t="shared" si="50"/>
        <v>0</v>
      </c>
      <c r="O546" s="7">
        <f t="shared" si="51"/>
        <v>2</v>
      </c>
      <c r="P546" s="7">
        <f t="shared" si="52"/>
        <v>3</v>
      </c>
      <c r="Q546" s="7" t="str">
        <f>IF(K546="Open",Summary!$B$6-B546,"")</f>
        <v/>
      </c>
      <c r="R546" s="7">
        <f>IF(L546=1,IF(M546&lt;=Summary!$B$5,1,0),"")</f>
        <v>1</v>
      </c>
      <c r="S546" s="1" t="str">
        <f t="shared" si="53"/>
        <v>2026-02</v>
      </c>
    </row>
    <row r="547" spans="1:19" ht="23" customHeight="1">
      <c r="A547" s="1" t="s">
        <v>604</v>
      </c>
      <c r="B547" s="4">
        <v>46109</v>
      </c>
      <c r="C547" s="1" t="s">
        <v>19</v>
      </c>
      <c r="D547" s="1" t="s">
        <v>54</v>
      </c>
      <c r="E547" s="5">
        <v>29000</v>
      </c>
      <c r="F547" s="1">
        <v>0</v>
      </c>
      <c r="G547" s="4">
        <v>46110</v>
      </c>
      <c r="H547" s="4"/>
      <c r="I547" s="4"/>
      <c r="J547" s="4"/>
      <c r="K547" s="1" t="s">
        <v>69</v>
      </c>
      <c r="L547" s="7">
        <f t="shared" si="48"/>
        <v>0</v>
      </c>
      <c r="M547" s="7" t="str">
        <f t="shared" si="49"/>
        <v/>
      </c>
      <c r="N547" s="7" t="str">
        <f t="shared" si="50"/>
        <v/>
      </c>
      <c r="O547" s="7" t="str">
        <f t="shared" si="51"/>
        <v/>
      </c>
      <c r="P547" s="7" t="str">
        <f t="shared" si="52"/>
        <v/>
      </c>
      <c r="Q547" s="7">
        <f>IF(K547="Open",Summary!$B$6-B547,"")</f>
        <v>3</v>
      </c>
      <c r="R547" s="7" t="str">
        <f>IF(L547=1,IF(M547&lt;=Summary!$B$5,1,0),"")</f>
        <v/>
      </c>
      <c r="S547" s="1" t="str">
        <f t="shared" si="53"/>
        <v>2026-03</v>
      </c>
    </row>
    <row r="548" spans="1:19" ht="23" customHeight="1">
      <c r="A548" s="1" t="s">
        <v>605</v>
      </c>
      <c r="B548" s="4">
        <v>46072</v>
      </c>
      <c r="C548" s="1" t="s">
        <v>19</v>
      </c>
      <c r="D548" s="1" t="s">
        <v>54</v>
      </c>
      <c r="E548" s="5">
        <v>16000</v>
      </c>
      <c r="F548" s="1">
        <v>0</v>
      </c>
      <c r="G548" s="4">
        <v>46072</v>
      </c>
      <c r="H548" s="4">
        <v>46078</v>
      </c>
      <c r="I548" s="4">
        <v>46079</v>
      </c>
      <c r="J548" s="4"/>
      <c r="K548" s="1" t="s">
        <v>55</v>
      </c>
      <c r="L548" s="7">
        <f t="shared" si="48"/>
        <v>1</v>
      </c>
      <c r="M548" s="7">
        <f t="shared" si="49"/>
        <v>7</v>
      </c>
      <c r="N548" s="7">
        <f t="shared" si="50"/>
        <v>0</v>
      </c>
      <c r="O548" s="7">
        <f t="shared" si="51"/>
        <v>6</v>
      </c>
      <c r="P548" s="7">
        <f t="shared" si="52"/>
        <v>1</v>
      </c>
      <c r="Q548" s="7" t="str">
        <f>IF(K548="Open",Summary!$B$6-B548,"")</f>
        <v/>
      </c>
      <c r="R548" s="7">
        <f>IF(L548=1,IF(M548&lt;=Summary!$B$5,1,0),"")</f>
        <v>1</v>
      </c>
      <c r="S548" s="1" t="str">
        <f t="shared" si="53"/>
        <v>2026-02</v>
      </c>
    </row>
    <row r="549" spans="1:19" ht="23" customHeight="1">
      <c r="A549" s="1" t="s">
        <v>606</v>
      </c>
      <c r="B549" s="4">
        <v>46044</v>
      </c>
      <c r="C549" s="1" t="s">
        <v>18</v>
      </c>
      <c r="D549" s="1" t="s">
        <v>71</v>
      </c>
      <c r="E549" s="5">
        <v>14000</v>
      </c>
      <c r="F549" s="1">
        <v>0</v>
      </c>
      <c r="G549" s="4">
        <v>46044</v>
      </c>
      <c r="H549" s="4">
        <v>46046</v>
      </c>
      <c r="I549" s="4">
        <v>46047</v>
      </c>
      <c r="J549" s="4"/>
      <c r="K549" s="1" t="s">
        <v>55</v>
      </c>
      <c r="L549" s="7">
        <f t="shared" si="48"/>
        <v>1</v>
      </c>
      <c r="M549" s="7">
        <f t="shared" si="49"/>
        <v>3</v>
      </c>
      <c r="N549" s="7">
        <f t="shared" si="50"/>
        <v>0</v>
      </c>
      <c r="O549" s="7">
        <f t="shared" si="51"/>
        <v>2</v>
      </c>
      <c r="P549" s="7">
        <f t="shared" si="52"/>
        <v>1</v>
      </c>
      <c r="Q549" s="7" t="str">
        <f>IF(K549="Open",Summary!$B$6-B549,"")</f>
        <v/>
      </c>
      <c r="R549" s="7">
        <f>IF(L549=1,IF(M549&lt;=Summary!$B$5,1,0),"")</f>
        <v>1</v>
      </c>
      <c r="S549" s="1" t="str">
        <f t="shared" si="53"/>
        <v>2026-01</v>
      </c>
    </row>
    <row r="550" spans="1:19" ht="23" customHeight="1">
      <c r="A550" s="1" t="s">
        <v>607</v>
      </c>
      <c r="B550" s="4">
        <v>46089</v>
      </c>
      <c r="C550" s="1" t="s">
        <v>19</v>
      </c>
      <c r="D550" s="1" t="s">
        <v>54</v>
      </c>
      <c r="E550" s="5">
        <v>5000</v>
      </c>
      <c r="F550" s="1">
        <v>0</v>
      </c>
      <c r="G550" s="4">
        <v>46091</v>
      </c>
      <c r="H550" s="4">
        <v>46097</v>
      </c>
      <c r="I550" s="4">
        <v>46098</v>
      </c>
      <c r="J550" s="4"/>
      <c r="K550" s="1" t="s">
        <v>55</v>
      </c>
      <c r="L550" s="7">
        <f t="shared" si="48"/>
        <v>1</v>
      </c>
      <c r="M550" s="7">
        <f t="shared" si="49"/>
        <v>9</v>
      </c>
      <c r="N550" s="7">
        <f t="shared" si="50"/>
        <v>2</v>
      </c>
      <c r="O550" s="7">
        <f t="shared" si="51"/>
        <v>6</v>
      </c>
      <c r="P550" s="7">
        <f t="shared" si="52"/>
        <v>1</v>
      </c>
      <c r="Q550" s="7" t="str">
        <f>IF(K550="Open",Summary!$B$6-B550,"")</f>
        <v/>
      </c>
      <c r="R550" s="7">
        <f>IF(L550=1,IF(M550&lt;=Summary!$B$5,1,0),"")</f>
        <v>0</v>
      </c>
      <c r="S550" s="1" t="str">
        <f t="shared" si="53"/>
        <v>2026-03</v>
      </c>
    </row>
    <row r="551" spans="1:19" ht="23" customHeight="1">
      <c r="A551" s="1" t="s">
        <v>608</v>
      </c>
      <c r="B551" s="4">
        <v>46033</v>
      </c>
      <c r="C551" s="1" t="s">
        <v>19</v>
      </c>
      <c r="D551" s="1" t="s">
        <v>54</v>
      </c>
      <c r="E551" s="5">
        <v>49000</v>
      </c>
      <c r="F551" s="1">
        <v>0</v>
      </c>
      <c r="G551" s="4">
        <v>46034</v>
      </c>
      <c r="H551" s="4">
        <v>46037</v>
      </c>
      <c r="I551" s="4">
        <v>46038</v>
      </c>
      <c r="J551" s="4"/>
      <c r="K551" s="1" t="s">
        <v>55</v>
      </c>
      <c r="L551" s="7">
        <f t="shared" si="48"/>
        <v>1</v>
      </c>
      <c r="M551" s="7">
        <f t="shared" si="49"/>
        <v>5</v>
      </c>
      <c r="N551" s="7">
        <f t="shared" si="50"/>
        <v>1</v>
      </c>
      <c r="O551" s="7">
        <f t="shared" si="51"/>
        <v>3</v>
      </c>
      <c r="P551" s="7">
        <f t="shared" si="52"/>
        <v>1</v>
      </c>
      <c r="Q551" s="7" t="str">
        <f>IF(K551="Open",Summary!$B$6-B551,"")</f>
        <v/>
      </c>
      <c r="R551" s="7">
        <f>IF(L551=1,IF(M551&lt;=Summary!$B$5,1,0),"")</f>
        <v>1</v>
      </c>
      <c r="S551" s="1" t="str">
        <f t="shared" si="53"/>
        <v>2026-01</v>
      </c>
    </row>
    <row r="552" spans="1:19" ht="23" customHeight="1">
      <c r="A552" s="1" t="s">
        <v>609</v>
      </c>
      <c r="B552" s="4">
        <v>46048</v>
      </c>
      <c r="C552" s="1" t="s">
        <v>18</v>
      </c>
      <c r="D552" s="1" t="s">
        <v>62</v>
      </c>
      <c r="E552" s="5">
        <v>37000</v>
      </c>
      <c r="F552" s="1">
        <v>1</v>
      </c>
      <c r="G552" s="4">
        <v>46054</v>
      </c>
      <c r="H552" s="4">
        <v>46058</v>
      </c>
      <c r="I552" s="4">
        <v>46060</v>
      </c>
      <c r="J552" s="4"/>
      <c r="K552" s="1" t="s">
        <v>55</v>
      </c>
      <c r="L552" s="7">
        <f t="shared" si="48"/>
        <v>1</v>
      </c>
      <c r="M552" s="7">
        <f t="shared" si="49"/>
        <v>12</v>
      </c>
      <c r="N552" s="7">
        <f t="shared" si="50"/>
        <v>6</v>
      </c>
      <c r="O552" s="7">
        <f t="shared" si="51"/>
        <v>4</v>
      </c>
      <c r="P552" s="7">
        <f t="shared" si="52"/>
        <v>2</v>
      </c>
      <c r="Q552" s="7" t="str">
        <f>IF(K552="Open",Summary!$B$6-B552,"")</f>
        <v/>
      </c>
      <c r="R552" s="7">
        <f>IF(L552=1,IF(M552&lt;=Summary!$B$5,1,0),"")</f>
        <v>0</v>
      </c>
      <c r="S552" s="1" t="str">
        <f t="shared" si="53"/>
        <v>2026-01</v>
      </c>
    </row>
    <row r="553" spans="1:19" ht="23" customHeight="1">
      <c r="A553" s="1" t="s">
        <v>610</v>
      </c>
      <c r="B553" s="4">
        <v>46087</v>
      </c>
      <c r="C553" s="1" t="s">
        <v>18</v>
      </c>
      <c r="D553" s="1" t="s">
        <v>65</v>
      </c>
      <c r="E553" s="5">
        <v>31000</v>
      </c>
      <c r="F553" s="1">
        <v>0</v>
      </c>
      <c r="G553" s="4">
        <v>46089</v>
      </c>
      <c r="H553" s="4">
        <v>46092</v>
      </c>
      <c r="I553" s="4">
        <v>46095</v>
      </c>
      <c r="J553" s="4"/>
      <c r="K553" s="1" t="s">
        <v>55</v>
      </c>
      <c r="L553" s="7">
        <f t="shared" si="48"/>
        <v>1</v>
      </c>
      <c r="M553" s="7">
        <f t="shared" si="49"/>
        <v>8</v>
      </c>
      <c r="N553" s="7">
        <f t="shared" si="50"/>
        <v>2</v>
      </c>
      <c r="O553" s="7">
        <f t="shared" si="51"/>
        <v>3</v>
      </c>
      <c r="P553" s="7">
        <f t="shared" si="52"/>
        <v>3</v>
      </c>
      <c r="Q553" s="7" t="str">
        <f>IF(K553="Open",Summary!$B$6-B553,"")</f>
        <v/>
      </c>
      <c r="R553" s="7">
        <f>IF(L553=1,IF(M553&lt;=Summary!$B$5,1,0),"")</f>
        <v>0</v>
      </c>
      <c r="S553" s="1" t="str">
        <f t="shared" si="53"/>
        <v>2026-03</v>
      </c>
    </row>
    <row r="554" spans="1:19" ht="23" customHeight="1">
      <c r="A554" s="1" t="s">
        <v>611</v>
      </c>
      <c r="B554" s="4">
        <v>46079</v>
      </c>
      <c r="C554" s="1" t="s">
        <v>19</v>
      </c>
      <c r="D554" s="1" t="s">
        <v>54</v>
      </c>
      <c r="E554" s="5">
        <v>32000</v>
      </c>
      <c r="F554" s="1">
        <v>1</v>
      </c>
      <c r="G554" s="4">
        <v>46085</v>
      </c>
      <c r="H554" s="4">
        <v>46088</v>
      </c>
      <c r="I554" s="4">
        <v>46090</v>
      </c>
      <c r="J554" s="4"/>
      <c r="K554" s="1" t="s">
        <v>55</v>
      </c>
      <c r="L554" s="7">
        <f t="shared" si="48"/>
        <v>1</v>
      </c>
      <c r="M554" s="7">
        <f t="shared" si="49"/>
        <v>11</v>
      </c>
      <c r="N554" s="7">
        <f t="shared" si="50"/>
        <v>6</v>
      </c>
      <c r="O554" s="7">
        <f t="shared" si="51"/>
        <v>3</v>
      </c>
      <c r="P554" s="7">
        <f t="shared" si="52"/>
        <v>2</v>
      </c>
      <c r="Q554" s="7" t="str">
        <f>IF(K554="Open",Summary!$B$6-B554,"")</f>
        <v/>
      </c>
      <c r="R554" s="7">
        <f>IF(L554=1,IF(M554&lt;=Summary!$B$5,1,0),"")</f>
        <v>0</v>
      </c>
      <c r="S554" s="1" t="str">
        <f t="shared" si="53"/>
        <v>2026-02</v>
      </c>
    </row>
    <row r="555" spans="1:19" ht="23" customHeight="1">
      <c r="A555" s="1" t="s">
        <v>612</v>
      </c>
      <c r="B555" s="4">
        <v>46107</v>
      </c>
      <c r="C555" s="1" t="s">
        <v>18</v>
      </c>
      <c r="D555" s="1" t="s">
        <v>62</v>
      </c>
      <c r="E555" s="5">
        <v>7000</v>
      </c>
      <c r="F555" s="1">
        <v>1</v>
      </c>
      <c r="G555" s="4"/>
      <c r="H555" s="4"/>
      <c r="I555" s="4"/>
      <c r="J555" s="4"/>
      <c r="K555" s="1" t="s">
        <v>69</v>
      </c>
      <c r="L555" s="7">
        <f t="shared" si="48"/>
        <v>0</v>
      </c>
      <c r="M555" s="7" t="str">
        <f t="shared" si="49"/>
        <v/>
      </c>
      <c r="N555" s="7" t="str">
        <f t="shared" si="50"/>
        <v/>
      </c>
      <c r="O555" s="7" t="str">
        <f t="shared" si="51"/>
        <v/>
      </c>
      <c r="P555" s="7" t="str">
        <f t="shared" si="52"/>
        <v/>
      </c>
      <c r="Q555" s="7">
        <f>IF(K555="Open",Summary!$B$6-B555,"")</f>
        <v>5</v>
      </c>
      <c r="R555" s="7" t="str">
        <f>IF(L555=1,IF(M555&lt;=Summary!$B$5,1,0),"")</f>
        <v/>
      </c>
      <c r="S555" s="1" t="str">
        <f t="shared" si="53"/>
        <v>2026-03</v>
      </c>
    </row>
    <row r="556" spans="1:19" ht="23" customHeight="1">
      <c r="A556" s="1" t="s">
        <v>613</v>
      </c>
      <c r="B556" s="4">
        <v>46092</v>
      </c>
      <c r="C556" s="1" t="s">
        <v>19</v>
      </c>
      <c r="D556" s="1" t="s">
        <v>54</v>
      </c>
      <c r="E556" s="5">
        <v>47000</v>
      </c>
      <c r="F556" s="1">
        <v>1</v>
      </c>
      <c r="G556" s="4">
        <v>46100</v>
      </c>
      <c r="H556" s="4">
        <v>46106</v>
      </c>
      <c r="I556" s="4">
        <v>46108</v>
      </c>
      <c r="J556" s="4"/>
      <c r="K556" s="1" t="s">
        <v>55</v>
      </c>
      <c r="L556" s="7">
        <f t="shared" si="48"/>
        <v>1</v>
      </c>
      <c r="M556" s="7">
        <f t="shared" si="49"/>
        <v>16</v>
      </c>
      <c r="N556" s="7">
        <f t="shared" si="50"/>
        <v>8</v>
      </c>
      <c r="O556" s="7">
        <f t="shared" si="51"/>
        <v>6</v>
      </c>
      <c r="P556" s="7">
        <f t="shared" si="52"/>
        <v>2</v>
      </c>
      <c r="Q556" s="7" t="str">
        <f>IF(K556="Open",Summary!$B$6-B556,"")</f>
        <v/>
      </c>
      <c r="R556" s="7">
        <f>IF(L556=1,IF(M556&lt;=Summary!$B$5,1,0),"")</f>
        <v>0</v>
      </c>
      <c r="S556" s="1" t="str">
        <f t="shared" si="53"/>
        <v>2026-03</v>
      </c>
    </row>
    <row r="557" spans="1:19" ht="23" customHeight="1">
      <c r="A557" s="1" t="s">
        <v>614</v>
      </c>
      <c r="B557" s="4">
        <v>46103</v>
      </c>
      <c r="C557" s="1" t="s">
        <v>19</v>
      </c>
      <c r="D557" s="1" t="s">
        <v>54</v>
      </c>
      <c r="E557" s="5">
        <v>30000</v>
      </c>
      <c r="F557" s="1">
        <v>0</v>
      </c>
      <c r="G557" s="4">
        <v>46103</v>
      </c>
      <c r="H557" s="4">
        <v>46107</v>
      </c>
      <c r="I557" s="4">
        <v>46108</v>
      </c>
      <c r="J557" s="4"/>
      <c r="K557" s="1" t="s">
        <v>55</v>
      </c>
      <c r="L557" s="7">
        <f t="shared" si="48"/>
        <v>1</v>
      </c>
      <c r="M557" s="7">
        <f t="shared" si="49"/>
        <v>5</v>
      </c>
      <c r="N557" s="7">
        <f t="shared" si="50"/>
        <v>0</v>
      </c>
      <c r="O557" s="7">
        <f t="shared" si="51"/>
        <v>4</v>
      </c>
      <c r="P557" s="7">
        <f t="shared" si="52"/>
        <v>1</v>
      </c>
      <c r="Q557" s="7" t="str">
        <f>IF(K557="Open",Summary!$B$6-B557,"")</f>
        <v/>
      </c>
      <c r="R557" s="7">
        <f>IF(L557=1,IF(M557&lt;=Summary!$B$5,1,0),"")</f>
        <v>1</v>
      </c>
      <c r="S557" s="1" t="str">
        <f t="shared" si="53"/>
        <v>2026-03</v>
      </c>
    </row>
    <row r="558" spans="1:19" ht="23" customHeight="1">
      <c r="A558" s="1" t="s">
        <v>615</v>
      </c>
      <c r="B558" s="4">
        <v>46044</v>
      </c>
      <c r="C558" s="1" t="s">
        <v>18</v>
      </c>
      <c r="D558" s="1" t="s">
        <v>65</v>
      </c>
      <c r="E558" s="5">
        <v>28000</v>
      </c>
      <c r="F558" s="1">
        <v>0</v>
      </c>
      <c r="G558" s="4">
        <v>46046</v>
      </c>
      <c r="H558" s="4">
        <v>46049</v>
      </c>
      <c r="I558" s="4">
        <v>46052</v>
      </c>
      <c r="J558" s="4"/>
      <c r="K558" s="1" t="s">
        <v>63</v>
      </c>
      <c r="L558" s="7">
        <f t="shared" si="48"/>
        <v>1</v>
      </c>
      <c r="M558" s="7">
        <f t="shared" si="49"/>
        <v>8</v>
      </c>
      <c r="N558" s="7">
        <f t="shared" si="50"/>
        <v>2</v>
      </c>
      <c r="O558" s="7">
        <f t="shared" si="51"/>
        <v>3</v>
      </c>
      <c r="P558" s="7">
        <f t="shared" si="52"/>
        <v>3</v>
      </c>
      <c r="Q558" s="7" t="str">
        <f>IF(K558="Open",Summary!$B$6-B558,"")</f>
        <v/>
      </c>
      <c r="R558" s="7">
        <f>IF(L558=1,IF(M558&lt;=Summary!$B$5,1,0),"")</f>
        <v>0</v>
      </c>
      <c r="S558" s="1" t="str">
        <f t="shared" si="53"/>
        <v>2026-01</v>
      </c>
    </row>
    <row r="559" spans="1:19" ht="23" customHeight="1">
      <c r="A559" s="1" t="s">
        <v>616</v>
      </c>
      <c r="B559" s="4">
        <v>46110</v>
      </c>
      <c r="C559" s="1" t="s">
        <v>19</v>
      </c>
      <c r="D559" s="1" t="s">
        <v>54</v>
      </c>
      <c r="E559" s="5">
        <v>46000</v>
      </c>
      <c r="F559" s="1">
        <v>0</v>
      </c>
      <c r="G559" s="4">
        <v>46111</v>
      </c>
      <c r="H559" s="4"/>
      <c r="I559" s="4"/>
      <c r="J559" s="4"/>
      <c r="K559" s="1" t="s">
        <v>69</v>
      </c>
      <c r="L559" s="7">
        <f t="shared" si="48"/>
        <v>0</v>
      </c>
      <c r="M559" s="7" t="str">
        <f t="shared" si="49"/>
        <v/>
      </c>
      <c r="N559" s="7" t="str">
        <f t="shared" si="50"/>
        <v/>
      </c>
      <c r="O559" s="7" t="str">
        <f t="shared" si="51"/>
        <v/>
      </c>
      <c r="P559" s="7" t="str">
        <f t="shared" si="52"/>
        <v/>
      </c>
      <c r="Q559" s="7">
        <f>IF(K559="Open",Summary!$B$6-B559,"")</f>
        <v>2</v>
      </c>
      <c r="R559" s="7" t="str">
        <f>IF(L559=1,IF(M559&lt;=Summary!$B$5,1,0),"")</f>
        <v/>
      </c>
      <c r="S559" s="1" t="str">
        <f t="shared" si="53"/>
        <v>2026-03</v>
      </c>
    </row>
    <row r="560" spans="1:19" ht="23" customHeight="1">
      <c r="A560" s="1" t="s">
        <v>617</v>
      </c>
      <c r="B560" s="4">
        <v>46047</v>
      </c>
      <c r="C560" s="1" t="s">
        <v>18</v>
      </c>
      <c r="D560" s="1" t="s">
        <v>59</v>
      </c>
      <c r="E560" s="5">
        <v>50000</v>
      </c>
      <c r="F560" s="1">
        <v>0</v>
      </c>
      <c r="G560" s="4">
        <v>46047</v>
      </c>
      <c r="H560" s="4">
        <v>46049</v>
      </c>
      <c r="I560" s="4">
        <v>46051</v>
      </c>
      <c r="J560" s="4"/>
      <c r="K560" s="1" t="s">
        <v>63</v>
      </c>
      <c r="L560" s="7">
        <f t="shared" si="48"/>
        <v>1</v>
      </c>
      <c r="M560" s="7">
        <f t="shared" si="49"/>
        <v>4</v>
      </c>
      <c r="N560" s="7">
        <f t="shared" si="50"/>
        <v>0</v>
      </c>
      <c r="O560" s="7">
        <f t="shared" si="51"/>
        <v>2</v>
      </c>
      <c r="P560" s="7">
        <f t="shared" si="52"/>
        <v>2</v>
      </c>
      <c r="Q560" s="7" t="str">
        <f>IF(K560="Open",Summary!$B$6-B560,"")</f>
        <v/>
      </c>
      <c r="R560" s="7">
        <f>IF(L560=1,IF(M560&lt;=Summary!$B$5,1,0),"")</f>
        <v>1</v>
      </c>
      <c r="S560" s="1" t="str">
        <f t="shared" si="53"/>
        <v>2026-01</v>
      </c>
    </row>
    <row r="561" spans="1:19" ht="23" customHeight="1">
      <c r="A561" s="1" t="s">
        <v>618</v>
      </c>
      <c r="B561" s="4">
        <v>46028</v>
      </c>
      <c r="C561" s="1" t="s">
        <v>18</v>
      </c>
      <c r="D561" s="1" t="s">
        <v>65</v>
      </c>
      <c r="E561" s="5">
        <v>12000</v>
      </c>
      <c r="F561" s="1">
        <v>0</v>
      </c>
      <c r="G561" s="4">
        <v>46028</v>
      </c>
      <c r="H561" s="4">
        <v>46030</v>
      </c>
      <c r="I561" s="4">
        <v>46031</v>
      </c>
      <c r="J561" s="4"/>
      <c r="K561" s="1" t="s">
        <v>63</v>
      </c>
      <c r="L561" s="7">
        <f t="shared" si="48"/>
        <v>1</v>
      </c>
      <c r="M561" s="7">
        <f t="shared" si="49"/>
        <v>3</v>
      </c>
      <c r="N561" s="7">
        <f t="shared" si="50"/>
        <v>0</v>
      </c>
      <c r="O561" s="7">
        <f t="shared" si="51"/>
        <v>2</v>
      </c>
      <c r="P561" s="7">
        <f t="shared" si="52"/>
        <v>1</v>
      </c>
      <c r="Q561" s="7" t="str">
        <f>IF(K561="Open",Summary!$B$6-B561,"")</f>
        <v/>
      </c>
      <c r="R561" s="7">
        <f>IF(L561=1,IF(M561&lt;=Summary!$B$5,1,0),"")</f>
        <v>1</v>
      </c>
      <c r="S561" s="1" t="str">
        <f t="shared" si="53"/>
        <v>2026-01</v>
      </c>
    </row>
    <row r="562" spans="1:19" ht="23" customHeight="1">
      <c r="A562" s="1" t="s">
        <v>619</v>
      </c>
      <c r="B562" s="4">
        <v>46046</v>
      </c>
      <c r="C562" s="1" t="s">
        <v>18</v>
      </c>
      <c r="D562" s="1" t="s">
        <v>65</v>
      </c>
      <c r="E562" s="5">
        <v>7000</v>
      </c>
      <c r="F562" s="1">
        <v>1</v>
      </c>
      <c r="G562" s="4">
        <v>46054</v>
      </c>
      <c r="H562" s="4">
        <v>46056</v>
      </c>
      <c r="I562" s="4">
        <v>46057</v>
      </c>
      <c r="J562" s="4"/>
      <c r="K562" s="1" t="s">
        <v>55</v>
      </c>
      <c r="L562" s="7">
        <f t="shared" si="48"/>
        <v>1</v>
      </c>
      <c r="M562" s="7">
        <f t="shared" si="49"/>
        <v>11</v>
      </c>
      <c r="N562" s="7">
        <f t="shared" si="50"/>
        <v>8</v>
      </c>
      <c r="O562" s="7">
        <f t="shared" si="51"/>
        <v>2</v>
      </c>
      <c r="P562" s="7">
        <f t="shared" si="52"/>
        <v>1</v>
      </c>
      <c r="Q562" s="7" t="str">
        <f>IF(K562="Open",Summary!$B$6-B562,"")</f>
        <v/>
      </c>
      <c r="R562" s="7">
        <f>IF(L562=1,IF(M562&lt;=Summary!$B$5,1,0),"")</f>
        <v>0</v>
      </c>
      <c r="S562" s="1" t="str">
        <f t="shared" si="53"/>
        <v>2026-01</v>
      </c>
    </row>
    <row r="563" spans="1:19" ht="23" customHeight="1">
      <c r="A563" s="1" t="s">
        <v>620</v>
      </c>
      <c r="B563" s="4">
        <v>46074</v>
      </c>
      <c r="C563" s="1" t="s">
        <v>18</v>
      </c>
      <c r="D563" s="1" t="s">
        <v>71</v>
      </c>
      <c r="E563" s="5">
        <v>35000</v>
      </c>
      <c r="F563" s="1">
        <v>1</v>
      </c>
      <c r="G563" s="4">
        <v>46080</v>
      </c>
      <c r="H563" s="4">
        <v>46086</v>
      </c>
      <c r="I563" s="4">
        <v>46087</v>
      </c>
      <c r="J563" s="4"/>
      <c r="K563" s="1" t="s">
        <v>55</v>
      </c>
      <c r="L563" s="7">
        <f t="shared" si="48"/>
        <v>1</v>
      </c>
      <c r="M563" s="7">
        <f t="shared" si="49"/>
        <v>13</v>
      </c>
      <c r="N563" s="7">
        <f t="shared" si="50"/>
        <v>6</v>
      </c>
      <c r="O563" s="7">
        <f t="shared" si="51"/>
        <v>6</v>
      </c>
      <c r="P563" s="7">
        <f t="shared" si="52"/>
        <v>1</v>
      </c>
      <c r="Q563" s="7" t="str">
        <f>IF(K563="Open",Summary!$B$6-B563,"")</f>
        <v/>
      </c>
      <c r="R563" s="7">
        <f>IF(L563=1,IF(M563&lt;=Summary!$B$5,1,0),"")</f>
        <v>0</v>
      </c>
      <c r="S563" s="1" t="str">
        <f t="shared" si="53"/>
        <v>2026-02</v>
      </c>
    </row>
    <row r="564" spans="1:19" ht="23" customHeight="1">
      <c r="A564" s="1" t="s">
        <v>621</v>
      </c>
      <c r="B564" s="4">
        <v>46030</v>
      </c>
      <c r="C564" s="1" t="s">
        <v>19</v>
      </c>
      <c r="D564" s="1" t="s">
        <v>54</v>
      </c>
      <c r="E564" s="5">
        <v>6000</v>
      </c>
      <c r="F564" s="1">
        <v>1</v>
      </c>
      <c r="G564" s="4">
        <v>46037</v>
      </c>
      <c r="H564" s="4">
        <v>46039</v>
      </c>
      <c r="I564" s="4">
        <v>46040</v>
      </c>
      <c r="J564" s="4"/>
      <c r="K564" s="1" t="s">
        <v>55</v>
      </c>
      <c r="L564" s="7">
        <f t="shared" si="48"/>
        <v>1</v>
      </c>
      <c r="M564" s="7">
        <f t="shared" si="49"/>
        <v>10</v>
      </c>
      <c r="N564" s="7">
        <f t="shared" si="50"/>
        <v>7</v>
      </c>
      <c r="O564" s="7">
        <f t="shared" si="51"/>
        <v>2</v>
      </c>
      <c r="P564" s="7">
        <f t="shared" si="52"/>
        <v>1</v>
      </c>
      <c r="Q564" s="7" t="str">
        <f>IF(K564="Open",Summary!$B$6-B564,"")</f>
        <v/>
      </c>
      <c r="R564" s="7">
        <f>IF(L564=1,IF(M564&lt;=Summary!$B$5,1,0),"")</f>
        <v>0</v>
      </c>
      <c r="S564" s="1" t="str">
        <f t="shared" si="53"/>
        <v>2026-01</v>
      </c>
    </row>
    <row r="565" spans="1:19" ht="23" customHeight="1">
      <c r="A565" s="1" t="s">
        <v>622</v>
      </c>
      <c r="B565" s="4">
        <v>46043</v>
      </c>
      <c r="C565" s="1" t="s">
        <v>19</v>
      </c>
      <c r="D565" s="1" t="s">
        <v>54</v>
      </c>
      <c r="E565" s="5">
        <v>22000</v>
      </c>
      <c r="F565" s="1">
        <v>0</v>
      </c>
      <c r="G565" s="4">
        <v>46044</v>
      </c>
      <c r="H565" s="4">
        <v>46047</v>
      </c>
      <c r="I565" s="4">
        <v>46050</v>
      </c>
      <c r="J565" s="4"/>
      <c r="K565" s="1" t="s">
        <v>55</v>
      </c>
      <c r="L565" s="7">
        <f t="shared" si="48"/>
        <v>1</v>
      </c>
      <c r="M565" s="7">
        <f t="shared" si="49"/>
        <v>7</v>
      </c>
      <c r="N565" s="7">
        <f t="shared" si="50"/>
        <v>1</v>
      </c>
      <c r="O565" s="7">
        <f t="shared" si="51"/>
        <v>3</v>
      </c>
      <c r="P565" s="7">
        <f t="shared" si="52"/>
        <v>3</v>
      </c>
      <c r="Q565" s="7" t="str">
        <f>IF(K565="Open",Summary!$B$6-B565,"")</f>
        <v/>
      </c>
      <c r="R565" s="7">
        <f>IF(L565=1,IF(M565&lt;=Summary!$B$5,1,0),"")</f>
        <v>1</v>
      </c>
      <c r="S565" s="1" t="str">
        <f t="shared" si="53"/>
        <v>2026-01</v>
      </c>
    </row>
    <row r="566" spans="1:19" ht="23" customHeight="1">
      <c r="A566" s="1" t="s">
        <v>623</v>
      </c>
      <c r="B566" s="4">
        <v>46078</v>
      </c>
      <c r="C566" s="1" t="s">
        <v>18</v>
      </c>
      <c r="D566" s="1" t="s">
        <v>65</v>
      </c>
      <c r="E566" s="5">
        <v>30000</v>
      </c>
      <c r="F566" s="1">
        <v>1</v>
      </c>
      <c r="G566" s="4">
        <v>46084</v>
      </c>
      <c r="H566" s="4">
        <v>46085</v>
      </c>
      <c r="I566" s="4">
        <v>46087</v>
      </c>
      <c r="J566" s="4"/>
      <c r="K566" s="1" t="s">
        <v>55</v>
      </c>
      <c r="L566" s="7">
        <f t="shared" si="48"/>
        <v>1</v>
      </c>
      <c r="M566" s="7">
        <f t="shared" si="49"/>
        <v>9</v>
      </c>
      <c r="N566" s="7">
        <f t="shared" si="50"/>
        <v>6</v>
      </c>
      <c r="O566" s="7">
        <f t="shared" si="51"/>
        <v>1</v>
      </c>
      <c r="P566" s="7">
        <f t="shared" si="52"/>
        <v>2</v>
      </c>
      <c r="Q566" s="7" t="str">
        <f>IF(K566="Open",Summary!$B$6-B566,"")</f>
        <v/>
      </c>
      <c r="R566" s="7">
        <f>IF(L566=1,IF(M566&lt;=Summary!$B$5,1,0),"")</f>
        <v>0</v>
      </c>
      <c r="S566" s="1" t="str">
        <f t="shared" si="53"/>
        <v>2026-02</v>
      </c>
    </row>
    <row r="567" spans="1:19" ht="23" customHeight="1">
      <c r="A567" s="1" t="s">
        <v>624</v>
      </c>
      <c r="B567" s="4">
        <v>46080</v>
      </c>
      <c r="C567" s="1" t="s">
        <v>18</v>
      </c>
      <c r="D567" s="1" t="s">
        <v>65</v>
      </c>
      <c r="E567" s="5">
        <v>13000</v>
      </c>
      <c r="F567" s="1">
        <v>0</v>
      </c>
      <c r="G567" s="4">
        <v>46081</v>
      </c>
      <c r="H567" s="4">
        <v>46085</v>
      </c>
      <c r="I567" s="4">
        <v>46087</v>
      </c>
      <c r="J567" s="4"/>
      <c r="K567" s="1" t="s">
        <v>63</v>
      </c>
      <c r="L567" s="7">
        <f t="shared" si="48"/>
        <v>1</v>
      </c>
      <c r="M567" s="7">
        <f t="shared" si="49"/>
        <v>7</v>
      </c>
      <c r="N567" s="7">
        <f t="shared" si="50"/>
        <v>1</v>
      </c>
      <c r="O567" s="7">
        <f t="shared" si="51"/>
        <v>4</v>
      </c>
      <c r="P567" s="7">
        <f t="shared" si="52"/>
        <v>2</v>
      </c>
      <c r="Q567" s="7" t="str">
        <f>IF(K567="Open",Summary!$B$6-B567,"")</f>
        <v/>
      </c>
      <c r="R567" s="7">
        <f>IF(L567=1,IF(M567&lt;=Summary!$B$5,1,0),"")</f>
        <v>1</v>
      </c>
      <c r="S567" s="1" t="str">
        <f t="shared" si="53"/>
        <v>2026-02</v>
      </c>
    </row>
    <row r="568" spans="1:19" ht="23" customHeight="1">
      <c r="A568" s="1" t="s">
        <v>625</v>
      </c>
      <c r="B568" s="4">
        <v>46048</v>
      </c>
      <c r="C568" s="1" t="s">
        <v>18</v>
      </c>
      <c r="D568" s="1" t="s">
        <v>65</v>
      </c>
      <c r="E568" s="5">
        <v>23000</v>
      </c>
      <c r="F568" s="1">
        <v>1</v>
      </c>
      <c r="G568" s="4">
        <v>46054</v>
      </c>
      <c r="H568" s="4">
        <v>46060</v>
      </c>
      <c r="I568" s="4">
        <v>46061</v>
      </c>
      <c r="J568" s="4"/>
      <c r="K568" s="1" t="s">
        <v>55</v>
      </c>
      <c r="L568" s="7">
        <f t="shared" si="48"/>
        <v>1</v>
      </c>
      <c r="M568" s="7">
        <f t="shared" si="49"/>
        <v>13</v>
      </c>
      <c r="N568" s="7">
        <f t="shared" si="50"/>
        <v>6</v>
      </c>
      <c r="O568" s="7">
        <f t="shared" si="51"/>
        <v>6</v>
      </c>
      <c r="P568" s="7">
        <f t="shared" si="52"/>
        <v>1</v>
      </c>
      <c r="Q568" s="7" t="str">
        <f>IF(K568="Open",Summary!$B$6-B568,"")</f>
        <v/>
      </c>
      <c r="R568" s="7">
        <f>IF(L568=1,IF(M568&lt;=Summary!$B$5,1,0),"")</f>
        <v>0</v>
      </c>
      <c r="S568" s="1" t="str">
        <f t="shared" si="53"/>
        <v>2026-01</v>
      </c>
    </row>
    <row r="569" spans="1:19" ht="23" customHeight="1">
      <c r="A569" s="1" t="s">
        <v>626</v>
      </c>
      <c r="B569" s="4">
        <v>46036</v>
      </c>
      <c r="C569" s="1" t="s">
        <v>19</v>
      </c>
      <c r="D569" s="1" t="s">
        <v>54</v>
      </c>
      <c r="E569" s="5">
        <v>26000</v>
      </c>
      <c r="F569" s="1">
        <v>0</v>
      </c>
      <c r="G569" s="4">
        <v>46036</v>
      </c>
      <c r="H569" s="4">
        <v>46039</v>
      </c>
      <c r="I569" s="4">
        <v>46042</v>
      </c>
      <c r="J569" s="4"/>
      <c r="K569" s="1" t="s">
        <v>63</v>
      </c>
      <c r="L569" s="7">
        <f t="shared" si="48"/>
        <v>1</v>
      </c>
      <c r="M569" s="7">
        <f t="shared" si="49"/>
        <v>6</v>
      </c>
      <c r="N569" s="7">
        <f t="shared" si="50"/>
        <v>0</v>
      </c>
      <c r="O569" s="7">
        <f t="shared" si="51"/>
        <v>3</v>
      </c>
      <c r="P569" s="7">
        <f t="shared" si="52"/>
        <v>3</v>
      </c>
      <c r="Q569" s="7" t="str">
        <f>IF(K569="Open",Summary!$B$6-B569,"")</f>
        <v/>
      </c>
      <c r="R569" s="7">
        <f>IF(L569=1,IF(M569&lt;=Summary!$B$5,1,0),"")</f>
        <v>1</v>
      </c>
      <c r="S569" s="1" t="str">
        <f t="shared" si="53"/>
        <v>2026-01</v>
      </c>
    </row>
    <row r="570" spans="1:19" ht="23" customHeight="1">
      <c r="A570" s="1" t="s">
        <v>627</v>
      </c>
      <c r="B570" s="4">
        <v>46038</v>
      </c>
      <c r="C570" s="1" t="s">
        <v>18</v>
      </c>
      <c r="D570" s="1" t="s">
        <v>59</v>
      </c>
      <c r="E570" s="5">
        <v>32000</v>
      </c>
      <c r="F570" s="1">
        <v>0</v>
      </c>
      <c r="G570" s="4">
        <v>46039</v>
      </c>
      <c r="H570" s="4">
        <v>46042</v>
      </c>
      <c r="I570" s="4">
        <v>46045</v>
      </c>
      <c r="J570" s="4"/>
      <c r="K570" s="1" t="s">
        <v>55</v>
      </c>
      <c r="L570" s="7">
        <f t="shared" si="48"/>
        <v>1</v>
      </c>
      <c r="M570" s="7">
        <f t="shared" si="49"/>
        <v>7</v>
      </c>
      <c r="N570" s="7">
        <f t="shared" si="50"/>
        <v>1</v>
      </c>
      <c r="O570" s="7">
        <f t="shared" si="51"/>
        <v>3</v>
      </c>
      <c r="P570" s="7">
        <f t="shared" si="52"/>
        <v>3</v>
      </c>
      <c r="Q570" s="7" t="str">
        <f>IF(K570="Open",Summary!$B$6-B570,"")</f>
        <v/>
      </c>
      <c r="R570" s="7">
        <f>IF(L570=1,IF(M570&lt;=Summary!$B$5,1,0),"")</f>
        <v>1</v>
      </c>
      <c r="S570" s="1" t="str">
        <f t="shared" si="53"/>
        <v>2026-01</v>
      </c>
    </row>
    <row r="571" spans="1:19" ht="23" customHeight="1">
      <c r="A571" s="1" t="s">
        <v>628</v>
      </c>
      <c r="B571" s="4">
        <v>46094</v>
      </c>
      <c r="C571" s="1" t="s">
        <v>18</v>
      </c>
      <c r="D571" s="1" t="s">
        <v>59</v>
      </c>
      <c r="E571" s="5">
        <v>11000</v>
      </c>
      <c r="F571" s="1">
        <v>1</v>
      </c>
      <c r="G571" s="4">
        <v>46102</v>
      </c>
      <c r="H571" s="4">
        <v>46108</v>
      </c>
      <c r="I571" s="4">
        <v>46109</v>
      </c>
      <c r="J571" s="4"/>
      <c r="K571" s="1" t="s">
        <v>55</v>
      </c>
      <c r="L571" s="7">
        <f t="shared" si="48"/>
        <v>1</v>
      </c>
      <c r="M571" s="7">
        <f t="shared" si="49"/>
        <v>15</v>
      </c>
      <c r="N571" s="7">
        <f t="shared" si="50"/>
        <v>8</v>
      </c>
      <c r="O571" s="7">
        <f t="shared" si="51"/>
        <v>6</v>
      </c>
      <c r="P571" s="7">
        <f t="shared" si="52"/>
        <v>1</v>
      </c>
      <c r="Q571" s="7" t="str">
        <f>IF(K571="Open",Summary!$B$6-B571,"")</f>
        <v/>
      </c>
      <c r="R571" s="7">
        <f>IF(L571=1,IF(M571&lt;=Summary!$B$5,1,0),"")</f>
        <v>0</v>
      </c>
      <c r="S571" s="1" t="str">
        <f t="shared" si="53"/>
        <v>2026-03</v>
      </c>
    </row>
    <row r="572" spans="1:19" ht="23" customHeight="1">
      <c r="A572" s="1" t="s">
        <v>629</v>
      </c>
      <c r="B572" s="4">
        <v>46050</v>
      </c>
      <c r="C572" s="1" t="s">
        <v>19</v>
      </c>
      <c r="D572" s="1" t="s">
        <v>54</v>
      </c>
      <c r="E572" s="5">
        <v>42000</v>
      </c>
      <c r="F572" s="1">
        <v>0</v>
      </c>
      <c r="G572" s="4">
        <v>46051</v>
      </c>
      <c r="H572" s="4">
        <v>46054</v>
      </c>
      <c r="I572" s="4">
        <v>46057</v>
      </c>
      <c r="J572" s="4"/>
      <c r="K572" s="1" t="s">
        <v>55</v>
      </c>
      <c r="L572" s="7">
        <f t="shared" si="48"/>
        <v>1</v>
      </c>
      <c r="M572" s="7">
        <f t="shared" si="49"/>
        <v>7</v>
      </c>
      <c r="N572" s="7">
        <f t="shared" si="50"/>
        <v>1</v>
      </c>
      <c r="O572" s="7">
        <f t="shared" si="51"/>
        <v>3</v>
      </c>
      <c r="P572" s="7">
        <f t="shared" si="52"/>
        <v>3</v>
      </c>
      <c r="Q572" s="7" t="str">
        <f>IF(K572="Open",Summary!$B$6-B572,"")</f>
        <v/>
      </c>
      <c r="R572" s="7">
        <f>IF(L572=1,IF(M572&lt;=Summary!$B$5,1,0),"")</f>
        <v>1</v>
      </c>
      <c r="S572" s="1" t="str">
        <f t="shared" si="53"/>
        <v>2026-01</v>
      </c>
    </row>
    <row r="573" spans="1:19" ht="23" customHeight="1">
      <c r="A573" s="1" t="s">
        <v>630</v>
      </c>
      <c r="B573" s="4">
        <v>46112</v>
      </c>
      <c r="C573" s="1" t="s">
        <v>18</v>
      </c>
      <c r="D573" s="1" t="s">
        <v>62</v>
      </c>
      <c r="E573" s="5">
        <v>16000</v>
      </c>
      <c r="F573" s="1">
        <v>0</v>
      </c>
      <c r="G573" s="4"/>
      <c r="H573" s="4"/>
      <c r="I573" s="4"/>
      <c r="J573" s="4"/>
      <c r="K573" s="1" t="s">
        <v>69</v>
      </c>
      <c r="L573" s="7">
        <f t="shared" si="48"/>
        <v>0</v>
      </c>
      <c r="M573" s="7" t="str">
        <f t="shared" si="49"/>
        <v/>
      </c>
      <c r="N573" s="7" t="str">
        <f t="shared" si="50"/>
        <v/>
      </c>
      <c r="O573" s="7" t="str">
        <f t="shared" si="51"/>
        <v/>
      </c>
      <c r="P573" s="7" t="str">
        <f t="shared" si="52"/>
        <v/>
      </c>
      <c r="Q573" s="7">
        <f>IF(K573="Open",Summary!$B$6-B573,"")</f>
        <v>0</v>
      </c>
      <c r="R573" s="7" t="str">
        <f>IF(L573=1,IF(M573&lt;=Summary!$B$5,1,0),"")</f>
        <v/>
      </c>
      <c r="S573" s="1" t="str">
        <f t="shared" si="53"/>
        <v>2026-03</v>
      </c>
    </row>
    <row r="574" spans="1:19" ht="23" customHeight="1">
      <c r="A574" s="1" t="s">
        <v>631</v>
      </c>
      <c r="B574" s="4">
        <v>46032</v>
      </c>
      <c r="C574" s="1" t="s">
        <v>19</v>
      </c>
      <c r="D574" s="1" t="s">
        <v>54</v>
      </c>
      <c r="E574" s="5">
        <v>36000</v>
      </c>
      <c r="F574" s="1">
        <v>1</v>
      </c>
      <c r="G574" s="4">
        <v>46037</v>
      </c>
      <c r="H574" s="4">
        <v>46043</v>
      </c>
      <c r="I574" s="4">
        <v>46046</v>
      </c>
      <c r="J574" s="4"/>
      <c r="K574" s="1" t="s">
        <v>63</v>
      </c>
      <c r="L574" s="7">
        <f t="shared" si="48"/>
        <v>1</v>
      </c>
      <c r="M574" s="7">
        <f t="shared" si="49"/>
        <v>14</v>
      </c>
      <c r="N574" s="7">
        <f t="shared" si="50"/>
        <v>5</v>
      </c>
      <c r="O574" s="7">
        <f t="shared" si="51"/>
        <v>6</v>
      </c>
      <c r="P574" s="7">
        <f t="shared" si="52"/>
        <v>3</v>
      </c>
      <c r="Q574" s="7" t="str">
        <f>IF(K574="Open",Summary!$B$6-B574,"")</f>
        <v/>
      </c>
      <c r="R574" s="7">
        <f>IF(L574=1,IF(M574&lt;=Summary!$B$5,1,0),"")</f>
        <v>0</v>
      </c>
      <c r="S574" s="1" t="str">
        <f t="shared" si="53"/>
        <v>2026-01</v>
      </c>
    </row>
    <row r="575" spans="1:19" ht="23" customHeight="1">
      <c r="A575" s="1" t="s">
        <v>632</v>
      </c>
      <c r="B575" s="4">
        <v>46048</v>
      </c>
      <c r="C575" s="1" t="s">
        <v>18</v>
      </c>
      <c r="D575" s="1" t="s">
        <v>62</v>
      </c>
      <c r="E575" s="5">
        <v>34000</v>
      </c>
      <c r="F575" s="1">
        <v>1</v>
      </c>
      <c r="G575" s="4">
        <v>46058</v>
      </c>
      <c r="H575" s="4">
        <v>46063</v>
      </c>
      <c r="I575" s="4">
        <v>46064</v>
      </c>
      <c r="J575" s="4"/>
      <c r="K575" s="1" t="s">
        <v>55</v>
      </c>
      <c r="L575" s="7">
        <f t="shared" si="48"/>
        <v>1</v>
      </c>
      <c r="M575" s="7">
        <f t="shared" si="49"/>
        <v>16</v>
      </c>
      <c r="N575" s="7">
        <f t="shared" si="50"/>
        <v>10</v>
      </c>
      <c r="O575" s="7">
        <f t="shared" si="51"/>
        <v>5</v>
      </c>
      <c r="P575" s="7">
        <f t="shared" si="52"/>
        <v>1</v>
      </c>
      <c r="Q575" s="7" t="str">
        <f>IF(K575="Open",Summary!$B$6-B575,"")</f>
        <v/>
      </c>
      <c r="R575" s="7">
        <f>IF(L575=1,IF(M575&lt;=Summary!$B$5,1,0),"")</f>
        <v>0</v>
      </c>
      <c r="S575" s="1" t="str">
        <f t="shared" si="53"/>
        <v>2026-01</v>
      </c>
    </row>
    <row r="576" spans="1:19" ht="23" customHeight="1">
      <c r="A576" s="1" t="s">
        <v>633</v>
      </c>
      <c r="B576" s="4">
        <v>46052</v>
      </c>
      <c r="C576" s="1" t="s">
        <v>19</v>
      </c>
      <c r="D576" s="1" t="s">
        <v>54</v>
      </c>
      <c r="E576" s="5">
        <v>12000</v>
      </c>
      <c r="F576" s="1">
        <v>1</v>
      </c>
      <c r="G576" s="4">
        <v>46058</v>
      </c>
      <c r="H576" s="4">
        <v>46059</v>
      </c>
      <c r="I576" s="4">
        <v>46060</v>
      </c>
      <c r="J576" s="4"/>
      <c r="K576" s="1" t="s">
        <v>55</v>
      </c>
      <c r="L576" s="7">
        <f t="shared" si="48"/>
        <v>1</v>
      </c>
      <c r="M576" s="7">
        <f t="shared" si="49"/>
        <v>8</v>
      </c>
      <c r="N576" s="7">
        <f t="shared" si="50"/>
        <v>6</v>
      </c>
      <c r="O576" s="7">
        <f t="shared" si="51"/>
        <v>1</v>
      </c>
      <c r="P576" s="7">
        <f t="shared" si="52"/>
        <v>1</v>
      </c>
      <c r="Q576" s="7" t="str">
        <f>IF(K576="Open",Summary!$B$6-B576,"")</f>
        <v/>
      </c>
      <c r="R576" s="7">
        <f>IF(L576=1,IF(M576&lt;=Summary!$B$5,1,0),"")</f>
        <v>0</v>
      </c>
      <c r="S576" s="1" t="str">
        <f t="shared" si="53"/>
        <v>2026-01</v>
      </c>
    </row>
    <row r="577" spans="1:19" ht="23" customHeight="1">
      <c r="A577" s="1" t="s">
        <v>634</v>
      </c>
      <c r="B577" s="4">
        <v>46063</v>
      </c>
      <c r="C577" s="1" t="s">
        <v>18</v>
      </c>
      <c r="D577" s="1" t="s">
        <v>59</v>
      </c>
      <c r="E577" s="5">
        <v>46000</v>
      </c>
      <c r="F577" s="1">
        <v>1</v>
      </c>
      <c r="G577" s="4">
        <v>46072</v>
      </c>
      <c r="H577" s="4">
        <v>46078</v>
      </c>
      <c r="I577" s="4">
        <v>46080</v>
      </c>
      <c r="J577" s="4"/>
      <c r="K577" s="1" t="s">
        <v>55</v>
      </c>
      <c r="L577" s="7">
        <f t="shared" si="48"/>
        <v>1</v>
      </c>
      <c r="M577" s="7">
        <f t="shared" si="49"/>
        <v>17</v>
      </c>
      <c r="N577" s="7">
        <f t="shared" si="50"/>
        <v>9</v>
      </c>
      <c r="O577" s="7">
        <f t="shared" si="51"/>
        <v>6</v>
      </c>
      <c r="P577" s="7">
        <f t="shared" si="52"/>
        <v>2</v>
      </c>
      <c r="Q577" s="7" t="str">
        <f>IF(K577="Open",Summary!$B$6-B577,"")</f>
        <v/>
      </c>
      <c r="R577" s="7">
        <f>IF(L577=1,IF(M577&lt;=Summary!$B$5,1,0),"")</f>
        <v>0</v>
      </c>
      <c r="S577" s="1" t="str">
        <f t="shared" si="53"/>
        <v>2026-02</v>
      </c>
    </row>
    <row r="578" spans="1:19" ht="23" customHeight="1">
      <c r="A578" s="1" t="s">
        <v>635</v>
      </c>
      <c r="B578" s="4">
        <v>46098</v>
      </c>
      <c r="C578" s="1" t="s">
        <v>18</v>
      </c>
      <c r="D578" s="1" t="s">
        <v>62</v>
      </c>
      <c r="E578" s="5">
        <v>25000</v>
      </c>
      <c r="F578" s="1">
        <v>1</v>
      </c>
      <c r="G578" s="4">
        <v>46104</v>
      </c>
      <c r="H578" s="4">
        <v>46108</v>
      </c>
      <c r="I578" s="4">
        <v>46111</v>
      </c>
      <c r="J578" s="4"/>
      <c r="K578" s="1" t="s">
        <v>55</v>
      </c>
      <c r="L578" s="7">
        <f t="shared" si="48"/>
        <v>1</v>
      </c>
      <c r="M578" s="7">
        <f t="shared" si="49"/>
        <v>13</v>
      </c>
      <c r="N578" s="7">
        <f t="shared" si="50"/>
        <v>6</v>
      </c>
      <c r="O578" s="7">
        <f t="shared" si="51"/>
        <v>4</v>
      </c>
      <c r="P578" s="7">
        <f t="shared" si="52"/>
        <v>3</v>
      </c>
      <c r="Q578" s="7" t="str">
        <f>IF(K578="Open",Summary!$B$6-B578,"")</f>
        <v/>
      </c>
      <c r="R578" s="7">
        <f>IF(L578=1,IF(M578&lt;=Summary!$B$5,1,0),"")</f>
        <v>0</v>
      </c>
      <c r="S578" s="1" t="str">
        <f t="shared" si="53"/>
        <v>2026-03</v>
      </c>
    </row>
    <row r="579" spans="1:19" ht="23" customHeight="1">
      <c r="A579" s="1" t="s">
        <v>636</v>
      </c>
      <c r="B579" s="4">
        <v>46091</v>
      </c>
      <c r="C579" s="1" t="s">
        <v>18</v>
      </c>
      <c r="D579" s="1" t="s">
        <v>59</v>
      </c>
      <c r="E579" s="5">
        <v>27000</v>
      </c>
      <c r="F579" s="1">
        <v>0</v>
      </c>
      <c r="G579" s="4">
        <v>46091</v>
      </c>
      <c r="H579" s="4">
        <v>46095</v>
      </c>
      <c r="I579" s="4">
        <v>46098</v>
      </c>
      <c r="J579" s="4"/>
      <c r="K579" s="1" t="s">
        <v>55</v>
      </c>
      <c r="L579" s="7">
        <f t="shared" si="48"/>
        <v>1</v>
      </c>
      <c r="M579" s="7">
        <f t="shared" si="49"/>
        <v>7</v>
      </c>
      <c r="N579" s="7">
        <f t="shared" si="50"/>
        <v>0</v>
      </c>
      <c r="O579" s="7">
        <f t="shared" si="51"/>
        <v>4</v>
      </c>
      <c r="P579" s="7">
        <f t="shared" si="52"/>
        <v>3</v>
      </c>
      <c r="Q579" s="7" t="str">
        <f>IF(K579="Open",Summary!$B$6-B579,"")</f>
        <v/>
      </c>
      <c r="R579" s="7">
        <f>IF(L579=1,IF(M579&lt;=Summary!$B$5,1,0),"")</f>
        <v>1</v>
      </c>
      <c r="S579" s="1" t="str">
        <f t="shared" si="53"/>
        <v>2026-03</v>
      </c>
    </row>
    <row r="580" spans="1:19" ht="23" customHeight="1">
      <c r="A580" s="1" t="s">
        <v>637</v>
      </c>
      <c r="B580" s="4">
        <v>46083</v>
      </c>
      <c r="C580" s="1" t="s">
        <v>19</v>
      </c>
      <c r="D580" s="1" t="s">
        <v>54</v>
      </c>
      <c r="E580" s="5">
        <v>45000</v>
      </c>
      <c r="F580" s="1">
        <v>0</v>
      </c>
      <c r="G580" s="4">
        <v>46085</v>
      </c>
      <c r="H580" s="4">
        <v>46091</v>
      </c>
      <c r="I580" s="4">
        <v>46092</v>
      </c>
      <c r="J580" s="4"/>
      <c r="K580" s="1" t="s">
        <v>55</v>
      </c>
      <c r="L580" s="7">
        <f t="shared" si="48"/>
        <v>1</v>
      </c>
      <c r="M580" s="7">
        <f t="shared" si="49"/>
        <v>9</v>
      </c>
      <c r="N580" s="7">
        <f t="shared" si="50"/>
        <v>2</v>
      </c>
      <c r="O580" s="7">
        <f t="shared" si="51"/>
        <v>6</v>
      </c>
      <c r="P580" s="7">
        <f t="shared" si="52"/>
        <v>1</v>
      </c>
      <c r="Q580" s="7" t="str">
        <f>IF(K580="Open",Summary!$B$6-B580,"")</f>
        <v/>
      </c>
      <c r="R580" s="7">
        <f>IF(L580=1,IF(M580&lt;=Summary!$B$5,1,0),"")</f>
        <v>0</v>
      </c>
      <c r="S580" s="1" t="str">
        <f t="shared" si="53"/>
        <v>2026-03</v>
      </c>
    </row>
    <row r="581" spans="1:19" ht="23" customHeight="1">
      <c r="A581" s="1" t="s">
        <v>638</v>
      </c>
      <c r="B581" s="4">
        <v>46076</v>
      </c>
      <c r="C581" s="1" t="s">
        <v>18</v>
      </c>
      <c r="D581" s="1" t="s">
        <v>62</v>
      </c>
      <c r="E581" s="5">
        <v>44000</v>
      </c>
      <c r="F581" s="1">
        <v>0</v>
      </c>
      <c r="G581" s="4">
        <v>46077</v>
      </c>
      <c r="H581" s="4">
        <v>46085</v>
      </c>
      <c r="I581" s="4">
        <v>46088</v>
      </c>
      <c r="J581" s="4"/>
      <c r="K581" s="1" t="s">
        <v>55</v>
      </c>
      <c r="L581" s="7">
        <f t="shared" ref="L581:L644" si="54">IF(OR(K581="Approved",K581="Declined"),1,0)</f>
        <v>1</v>
      </c>
      <c r="M581" s="7">
        <f t="shared" ref="M581:M644" si="55">IF(L581=1,I581-B581,"")</f>
        <v>12</v>
      </c>
      <c r="N581" s="7">
        <f t="shared" ref="N581:N604" si="56">IF(L581=1,G581-B581,"")</f>
        <v>1</v>
      </c>
      <c r="O581" s="7">
        <f t="shared" ref="O581:O604" si="57">IF(L581=1,H581-G581,"")</f>
        <v>8</v>
      </c>
      <c r="P581" s="7">
        <f t="shared" ref="P581:P604" si="58">IF(L581=1,I581-H581,"")</f>
        <v>3</v>
      </c>
      <c r="Q581" s="7" t="str">
        <f>IF(K581="Open",Summary!$B$6-B581,"")</f>
        <v/>
      </c>
      <c r="R581" s="7">
        <f>IF(L581=1,IF(M581&lt;=Summary!$B$5,1,0),"")</f>
        <v>0</v>
      </c>
      <c r="S581" s="1" t="str">
        <f t="shared" ref="S581:S604" si="59">TEXT(B581,"yyyy-mm")</f>
        <v>2026-02</v>
      </c>
    </row>
    <row r="582" spans="1:19" ht="23" customHeight="1">
      <c r="A582" s="1" t="s">
        <v>639</v>
      </c>
      <c r="B582" s="4">
        <v>46108</v>
      </c>
      <c r="C582" s="1" t="s">
        <v>19</v>
      </c>
      <c r="D582" s="1" t="s">
        <v>54</v>
      </c>
      <c r="E582" s="5">
        <v>32000</v>
      </c>
      <c r="F582" s="1">
        <v>0</v>
      </c>
      <c r="G582" s="4">
        <v>46108</v>
      </c>
      <c r="H582" s="4"/>
      <c r="I582" s="4"/>
      <c r="J582" s="4"/>
      <c r="K582" s="1" t="s">
        <v>69</v>
      </c>
      <c r="L582" s="7">
        <f t="shared" si="54"/>
        <v>0</v>
      </c>
      <c r="M582" s="7" t="str">
        <f t="shared" si="55"/>
        <v/>
      </c>
      <c r="N582" s="7" t="str">
        <f t="shared" si="56"/>
        <v/>
      </c>
      <c r="O582" s="7" t="str">
        <f t="shared" si="57"/>
        <v/>
      </c>
      <c r="P582" s="7" t="str">
        <f t="shared" si="58"/>
        <v/>
      </c>
      <c r="Q582" s="7">
        <f>IF(K582="Open",Summary!$B$6-B582,"")</f>
        <v>4</v>
      </c>
      <c r="R582" s="7" t="str">
        <f>IF(L582=1,IF(M582&lt;=Summary!$B$5,1,0),"")</f>
        <v/>
      </c>
      <c r="S582" s="1" t="str">
        <f t="shared" si="59"/>
        <v>2026-03</v>
      </c>
    </row>
    <row r="583" spans="1:19" ht="23" customHeight="1">
      <c r="A583" s="1" t="s">
        <v>640</v>
      </c>
      <c r="B583" s="4">
        <v>46057</v>
      </c>
      <c r="C583" s="1" t="s">
        <v>19</v>
      </c>
      <c r="D583" s="1" t="s">
        <v>54</v>
      </c>
      <c r="E583" s="5">
        <v>24000</v>
      </c>
      <c r="F583" s="1">
        <v>1</v>
      </c>
      <c r="G583" s="4">
        <v>46066</v>
      </c>
      <c r="H583" s="4">
        <v>46067</v>
      </c>
      <c r="I583" s="4">
        <v>46070</v>
      </c>
      <c r="J583" s="4"/>
      <c r="K583" s="1" t="s">
        <v>55</v>
      </c>
      <c r="L583" s="7">
        <f t="shared" si="54"/>
        <v>1</v>
      </c>
      <c r="M583" s="7">
        <f t="shared" si="55"/>
        <v>13</v>
      </c>
      <c r="N583" s="7">
        <f t="shared" si="56"/>
        <v>9</v>
      </c>
      <c r="O583" s="7">
        <f t="shared" si="57"/>
        <v>1</v>
      </c>
      <c r="P583" s="7">
        <f t="shared" si="58"/>
        <v>3</v>
      </c>
      <c r="Q583" s="7" t="str">
        <f>IF(K583="Open",Summary!$B$6-B583,"")</f>
        <v/>
      </c>
      <c r="R583" s="7">
        <f>IF(L583=1,IF(M583&lt;=Summary!$B$5,1,0),"")</f>
        <v>0</v>
      </c>
      <c r="S583" s="1" t="str">
        <f t="shared" si="59"/>
        <v>2026-02</v>
      </c>
    </row>
    <row r="584" spans="1:19" ht="23" customHeight="1">
      <c r="A584" s="1" t="s">
        <v>641</v>
      </c>
      <c r="B584" s="4">
        <v>46057</v>
      </c>
      <c r="C584" s="1" t="s">
        <v>19</v>
      </c>
      <c r="D584" s="1" t="s">
        <v>54</v>
      </c>
      <c r="E584" s="5">
        <v>35000</v>
      </c>
      <c r="F584" s="1">
        <v>0</v>
      </c>
      <c r="G584" s="4">
        <v>46058</v>
      </c>
      <c r="H584" s="4">
        <v>46063</v>
      </c>
      <c r="I584" s="4">
        <v>46064</v>
      </c>
      <c r="J584" s="4"/>
      <c r="K584" s="1" t="s">
        <v>55</v>
      </c>
      <c r="L584" s="7">
        <f t="shared" si="54"/>
        <v>1</v>
      </c>
      <c r="M584" s="7">
        <f t="shared" si="55"/>
        <v>7</v>
      </c>
      <c r="N584" s="7">
        <f t="shared" si="56"/>
        <v>1</v>
      </c>
      <c r="O584" s="7">
        <f t="shared" si="57"/>
        <v>5</v>
      </c>
      <c r="P584" s="7">
        <f t="shared" si="58"/>
        <v>1</v>
      </c>
      <c r="Q584" s="7" t="str">
        <f>IF(K584="Open",Summary!$B$6-B584,"")</f>
        <v/>
      </c>
      <c r="R584" s="7">
        <f>IF(L584=1,IF(M584&lt;=Summary!$B$5,1,0),"")</f>
        <v>1</v>
      </c>
      <c r="S584" s="1" t="str">
        <f t="shared" si="59"/>
        <v>2026-02</v>
      </c>
    </row>
    <row r="585" spans="1:19" ht="23" customHeight="1">
      <c r="A585" s="1" t="s">
        <v>642</v>
      </c>
      <c r="B585" s="4">
        <v>46101</v>
      </c>
      <c r="C585" s="1" t="s">
        <v>19</v>
      </c>
      <c r="D585" s="1" t="s">
        <v>54</v>
      </c>
      <c r="E585" s="5">
        <v>29000</v>
      </c>
      <c r="F585" s="1">
        <v>1</v>
      </c>
      <c r="G585" s="4">
        <v>46107</v>
      </c>
      <c r="H585" s="4">
        <v>46111</v>
      </c>
      <c r="I585" s="4">
        <v>46112</v>
      </c>
      <c r="J585" s="4"/>
      <c r="K585" s="1" t="s">
        <v>55</v>
      </c>
      <c r="L585" s="7">
        <f t="shared" si="54"/>
        <v>1</v>
      </c>
      <c r="M585" s="7">
        <f t="shared" si="55"/>
        <v>11</v>
      </c>
      <c r="N585" s="7">
        <f t="shared" si="56"/>
        <v>6</v>
      </c>
      <c r="O585" s="7">
        <f t="shared" si="57"/>
        <v>4</v>
      </c>
      <c r="P585" s="7">
        <f t="shared" si="58"/>
        <v>1</v>
      </c>
      <c r="Q585" s="7" t="str">
        <f>IF(K585="Open",Summary!$B$6-B585,"")</f>
        <v/>
      </c>
      <c r="R585" s="7">
        <f>IF(L585=1,IF(M585&lt;=Summary!$B$5,1,0),"")</f>
        <v>0</v>
      </c>
      <c r="S585" s="1" t="str">
        <f t="shared" si="59"/>
        <v>2026-03</v>
      </c>
    </row>
    <row r="586" spans="1:19" ht="23" customHeight="1">
      <c r="A586" s="1" t="s">
        <v>643</v>
      </c>
      <c r="B586" s="4">
        <v>46062</v>
      </c>
      <c r="C586" s="1" t="s">
        <v>18</v>
      </c>
      <c r="D586" s="1" t="s">
        <v>71</v>
      </c>
      <c r="E586" s="5">
        <v>22000</v>
      </c>
      <c r="F586" s="1">
        <v>0</v>
      </c>
      <c r="G586" s="4">
        <v>46062</v>
      </c>
      <c r="H586" s="4">
        <v>46066</v>
      </c>
      <c r="I586" s="4">
        <v>46068</v>
      </c>
      <c r="J586" s="4"/>
      <c r="K586" s="1" t="s">
        <v>55</v>
      </c>
      <c r="L586" s="7">
        <f t="shared" si="54"/>
        <v>1</v>
      </c>
      <c r="M586" s="7">
        <f t="shared" si="55"/>
        <v>6</v>
      </c>
      <c r="N586" s="7">
        <f t="shared" si="56"/>
        <v>0</v>
      </c>
      <c r="O586" s="7">
        <f t="shared" si="57"/>
        <v>4</v>
      </c>
      <c r="P586" s="7">
        <f t="shared" si="58"/>
        <v>2</v>
      </c>
      <c r="Q586" s="7" t="str">
        <f>IF(K586="Open",Summary!$B$6-B586,"")</f>
        <v/>
      </c>
      <c r="R586" s="7">
        <f>IF(L586=1,IF(M586&lt;=Summary!$B$5,1,0),"")</f>
        <v>1</v>
      </c>
      <c r="S586" s="1" t="str">
        <f t="shared" si="59"/>
        <v>2026-02</v>
      </c>
    </row>
    <row r="587" spans="1:19" ht="23" customHeight="1">
      <c r="A587" s="1" t="s">
        <v>644</v>
      </c>
      <c r="B587" s="4">
        <v>46050</v>
      </c>
      <c r="C587" s="1" t="s">
        <v>18</v>
      </c>
      <c r="D587" s="1" t="s">
        <v>65</v>
      </c>
      <c r="E587" s="5">
        <v>17000</v>
      </c>
      <c r="F587" s="1">
        <v>0</v>
      </c>
      <c r="G587" s="4">
        <v>46052</v>
      </c>
      <c r="H587" s="4">
        <v>46056</v>
      </c>
      <c r="I587" s="4">
        <v>46059</v>
      </c>
      <c r="J587" s="4"/>
      <c r="K587" s="1" t="s">
        <v>63</v>
      </c>
      <c r="L587" s="7">
        <f t="shared" si="54"/>
        <v>1</v>
      </c>
      <c r="M587" s="7">
        <f t="shared" si="55"/>
        <v>9</v>
      </c>
      <c r="N587" s="7">
        <f t="shared" si="56"/>
        <v>2</v>
      </c>
      <c r="O587" s="7">
        <f t="shared" si="57"/>
        <v>4</v>
      </c>
      <c r="P587" s="7">
        <f t="shared" si="58"/>
        <v>3</v>
      </c>
      <c r="Q587" s="7" t="str">
        <f>IF(K587="Open",Summary!$B$6-B587,"")</f>
        <v/>
      </c>
      <c r="R587" s="7">
        <f>IF(L587=1,IF(M587&lt;=Summary!$B$5,1,0),"")</f>
        <v>0</v>
      </c>
      <c r="S587" s="1" t="str">
        <f t="shared" si="59"/>
        <v>2026-01</v>
      </c>
    </row>
    <row r="588" spans="1:19" ht="23" customHeight="1">
      <c r="A588" s="1" t="s">
        <v>645</v>
      </c>
      <c r="B588" s="4">
        <v>46092</v>
      </c>
      <c r="C588" s="1" t="s">
        <v>19</v>
      </c>
      <c r="D588" s="1" t="s">
        <v>54</v>
      </c>
      <c r="E588" s="5">
        <v>8000</v>
      </c>
      <c r="F588" s="1">
        <v>0</v>
      </c>
      <c r="G588" s="4">
        <v>46094</v>
      </c>
      <c r="H588" s="4">
        <v>46097</v>
      </c>
      <c r="I588" s="4">
        <v>46100</v>
      </c>
      <c r="J588" s="4"/>
      <c r="K588" s="1" t="s">
        <v>63</v>
      </c>
      <c r="L588" s="7">
        <f t="shared" si="54"/>
        <v>1</v>
      </c>
      <c r="M588" s="7">
        <f t="shared" si="55"/>
        <v>8</v>
      </c>
      <c r="N588" s="7">
        <f t="shared" si="56"/>
        <v>2</v>
      </c>
      <c r="O588" s="7">
        <f t="shared" si="57"/>
        <v>3</v>
      </c>
      <c r="P588" s="7">
        <f t="shared" si="58"/>
        <v>3</v>
      </c>
      <c r="Q588" s="7" t="str">
        <f>IF(K588="Open",Summary!$B$6-B588,"")</f>
        <v/>
      </c>
      <c r="R588" s="7">
        <f>IF(L588=1,IF(M588&lt;=Summary!$B$5,1,0),"")</f>
        <v>0</v>
      </c>
      <c r="S588" s="1" t="str">
        <f t="shared" si="59"/>
        <v>2026-03</v>
      </c>
    </row>
    <row r="589" spans="1:19" ht="23" customHeight="1">
      <c r="A589" s="1" t="s">
        <v>646</v>
      </c>
      <c r="B589" s="4">
        <v>46027</v>
      </c>
      <c r="C589" s="1" t="s">
        <v>19</v>
      </c>
      <c r="D589" s="1" t="s">
        <v>54</v>
      </c>
      <c r="E589" s="5">
        <v>27000</v>
      </c>
      <c r="F589" s="1">
        <v>0</v>
      </c>
      <c r="G589" s="4">
        <v>46027</v>
      </c>
      <c r="H589" s="4">
        <v>46029</v>
      </c>
      <c r="I589" s="4">
        <v>46032</v>
      </c>
      <c r="J589" s="4"/>
      <c r="K589" s="1" t="s">
        <v>63</v>
      </c>
      <c r="L589" s="7">
        <f t="shared" si="54"/>
        <v>1</v>
      </c>
      <c r="M589" s="7">
        <f t="shared" si="55"/>
        <v>5</v>
      </c>
      <c r="N589" s="7">
        <f t="shared" si="56"/>
        <v>0</v>
      </c>
      <c r="O589" s="7">
        <f t="shared" si="57"/>
        <v>2</v>
      </c>
      <c r="P589" s="7">
        <f t="shared" si="58"/>
        <v>3</v>
      </c>
      <c r="Q589" s="7" t="str">
        <f>IF(K589="Open",Summary!$B$6-B589,"")</f>
        <v/>
      </c>
      <c r="R589" s="7">
        <f>IF(L589=1,IF(M589&lt;=Summary!$B$5,1,0),"")</f>
        <v>1</v>
      </c>
      <c r="S589" s="1" t="str">
        <f t="shared" si="59"/>
        <v>2026-01</v>
      </c>
    </row>
    <row r="590" spans="1:19" ht="23" customHeight="1">
      <c r="A590" s="1" t="s">
        <v>647</v>
      </c>
      <c r="B590" s="4">
        <v>46045</v>
      </c>
      <c r="C590" s="1" t="s">
        <v>18</v>
      </c>
      <c r="D590" s="1" t="s">
        <v>59</v>
      </c>
      <c r="E590" s="5">
        <v>22000</v>
      </c>
      <c r="F590" s="1">
        <v>0</v>
      </c>
      <c r="G590" s="4">
        <v>46046</v>
      </c>
      <c r="H590" s="4">
        <v>46049</v>
      </c>
      <c r="I590" s="4">
        <v>46052</v>
      </c>
      <c r="J590" s="4"/>
      <c r="K590" s="1" t="s">
        <v>63</v>
      </c>
      <c r="L590" s="7">
        <f t="shared" si="54"/>
        <v>1</v>
      </c>
      <c r="M590" s="7">
        <f t="shared" si="55"/>
        <v>7</v>
      </c>
      <c r="N590" s="7">
        <f t="shared" si="56"/>
        <v>1</v>
      </c>
      <c r="O590" s="7">
        <f t="shared" si="57"/>
        <v>3</v>
      </c>
      <c r="P590" s="7">
        <f t="shared" si="58"/>
        <v>3</v>
      </c>
      <c r="Q590" s="7" t="str">
        <f>IF(K590="Open",Summary!$B$6-B590,"")</f>
        <v/>
      </c>
      <c r="R590" s="7">
        <f>IF(L590=1,IF(M590&lt;=Summary!$B$5,1,0),"")</f>
        <v>1</v>
      </c>
      <c r="S590" s="1" t="str">
        <f t="shared" si="59"/>
        <v>2026-01</v>
      </c>
    </row>
    <row r="591" spans="1:19" ht="23" customHeight="1">
      <c r="A591" s="1" t="s">
        <v>648</v>
      </c>
      <c r="B591" s="4">
        <v>46088</v>
      </c>
      <c r="C591" s="1" t="s">
        <v>19</v>
      </c>
      <c r="D591" s="1" t="s">
        <v>54</v>
      </c>
      <c r="E591" s="5">
        <v>10000</v>
      </c>
      <c r="F591" s="1">
        <v>0</v>
      </c>
      <c r="G591" s="4">
        <v>46089</v>
      </c>
      <c r="H591" s="4">
        <v>46090</v>
      </c>
      <c r="I591" s="4">
        <v>46093</v>
      </c>
      <c r="J591" s="4"/>
      <c r="K591" s="1" t="s">
        <v>63</v>
      </c>
      <c r="L591" s="7">
        <f t="shared" si="54"/>
        <v>1</v>
      </c>
      <c r="M591" s="7">
        <f t="shared" si="55"/>
        <v>5</v>
      </c>
      <c r="N591" s="7">
        <f t="shared" si="56"/>
        <v>1</v>
      </c>
      <c r="O591" s="7">
        <f t="shared" si="57"/>
        <v>1</v>
      </c>
      <c r="P591" s="7">
        <f t="shared" si="58"/>
        <v>3</v>
      </c>
      <c r="Q591" s="7" t="str">
        <f>IF(K591="Open",Summary!$B$6-B591,"")</f>
        <v/>
      </c>
      <c r="R591" s="7">
        <f>IF(L591=1,IF(M591&lt;=Summary!$B$5,1,0),"")</f>
        <v>1</v>
      </c>
      <c r="S591" s="1" t="str">
        <f t="shared" si="59"/>
        <v>2026-03</v>
      </c>
    </row>
    <row r="592" spans="1:19" ht="23" customHeight="1">
      <c r="A592" s="1" t="s">
        <v>649</v>
      </c>
      <c r="B592" s="4">
        <v>46069</v>
      </c>
      <c r="C592" s="1" t="s">
        <v>18</v>
      </c>
      <c r="D592" s="1" t="s">
        <v>59</v>
      </c>
      <c r="E592" s="5">
        <v>39000</v>
      </c>
      <c r="F592" s="1">
        <v>1</v>
      </c>
      <c r="G592" s="4">
        <v>46077</v>
      </c>
      <c r="H592" s="4">
        <v>46082</v>
      </c>
      <c r="I592" s="4">
        <v>46083</v>
      </c>
      <c r="J592" s="4"/>
      <c r="K592" s="1" t="s">
        <v>55</v>
      </c>
      <c r="L592" s="7">
        <f t="shared" si="54"/>
        <v>1</v>
      </c>
      <c r="M592" s="7">
        <f t="shared" si="55"/>
        <v>14</v>
      </c>
      <c r="N592" s="7">
        <f t="shared" si="56"/>
        <v>8</v>
      </c>
      <c r="O592" s="7">
        <f t="shared" si="57"/>
        <v>5</v>
      </c>
      <c r="P592" s="7">
        <f t="shared" si="58"/>
        <v>1</v>
      </c>
      <c r="Q592" s="7" t="str">
        <f>IF(K592="Open",Summary!$B$6-B592,"")</f>
        <v/>
      </c>
      <c r="R592" s="7">
        <f>IF(L592=1,IF(M592&lt;=Summary!$B$5,1,0),"")</f>
        <v>0</v>
      </c>
      <c r="S592" s="1" t="str">
        <f t="shared" si="59"/>
        <v>2026-02</v>
      </c>
    </row>
    <row r="593" spans="1:19" ht="23" customHeight="1">
      <c r="A593" s="1" t="s">
        <v>650</v>
      </c>
      <c r="B593" s="4">
        <v>46044</v>
      </c>
      <c r="C593" s="1" t="s">
        <v>18</v>
      </c>
      <c r="D593" s="1" t="s">
        <v>59</v>
      </c>
      <c r="E593" s="5">
        <v>42000</v>
      </c>
      <c r="F593" s="1">
        <v>0</v>
      </c>
      <c r="G593" s="4">
        <v>46046</v>
      </c>
      <c r="H593" s="4">
        <v>46047</v>
      </c>
      <c r="I593" s="4">
        <v>46048</v>
      </c>
      <c r="J593" s="4"/>
      <c r="K593" s="1" t="s">
        <v>55</v>
      </c>
      <c r="L593" s="7">
        <f t="shared" si="54"/>
        <v>1</v>
      </c>
      <c r="M593" s="7">
        <f t="shared" si="55"/>
        <v>4</v>
      </c>
      <c r="N593" s="7">
        <f t="shared" si="56"/>
        <v>2</v>
      </c>
      <c r="O593" s="7">
        <f t="shared" si="57"/>
        <v>1</v>
      </c>
      <c r="P593" s="7">
        <f t="shared" si="58"/>
        <v>1</v>
      </c>
      <c r="Q593" s="7" t="str">
        <f>IF(K593="Open",Summary!$B$6-B593,"")</f>
        <v/>
      </c>
      <c r="R593" s="7">
        <f>IF(L593=1,IF(M593&lt;=Summary!$B$5,1,0),"")</f>
        <v>1</v>
      </c>
      <c r="S593" s="1" t="str">
        <f t="shared" si="59"/>
        <v>2026-01</v>
      </c>
    </row>
    <row r="594" spans="1:19" ht="23" customHeight="1">
      <c r="A594" s="1" t="s">
        <v>651</v>
      </c>
      <c r="B594" s="4">
        <v>46039</v>
      </c>
      <c r="C594" s="1" t="s">
        <v>18</v>
      </c>
      <c r="D594" s="1" t="s">
        <v>71</v>
      </c>
      <c r="E594" s="5">
        <v>30000</v>
      </c>
      <c r="F594" s="1">
        <v>0</v>
      </c>
      <c r="G594" s="4">
        <v>46040</v>
      </c>
      <c r="H594" s="4">
        <v>46043</v>
      </c>
      <c r="I594" s="4">
        <v>46044</v>
      </c>
      <c r="J594" s="4"/>
      <c r="K594" s="1" t="s">
        <v>55</v>
      </c>
      <c r="L594" s="7">
        <f t="shared" si="54"/>
        <v>1</v>
      </c>
      <c r="M594" s="7">
        <f t="shared" si="55"/>
        <v>5</v>
      </c>
      <c r="N594" s="7">
        <f t="shared" si="56"/>
        <v>1</v>
      </c>
      <c r="O594" s="7">
        <f t="shared" si="57"/>
        <v>3</v>
      </c>
      <c r="P594" s="7">
        <f t="shared" si="58"/>
        <v>1</v>
      </c>
      <c r="Q594" s="7" t="str">
        <f>IF(K594="Open",Summary!$B$6-B594,"")</f>
        <v/>
      </c>
      <c r="R594" s="7">
        <f>IF(L594=1,IF(M594&lt;=Summary!$B$5,1,0),"")</f>
        <v>1</v>
      </c>
      <c r="S594" s="1" t="str">
        <f t="shared" si="59"/>
        <v>2026-01</v>
      </c>
    </row>
    <row r="595" spans="1:19" ht="23" customHeight="1">
      <c r="A595" s="1" t="s">
        <v>652</v>
      </c>
      <c r="B595" s="4">
        <v>46071</v>
      </c>
      <c r="C595" s="1" t="s">
        <v>19</v>
      </c>
      <c r="D595" s="1" t="s">
        <v>54</v>
      </c>
      <c r="E595" s="5">
        <v>50000</v>
      </c>
      <c r="F595" s="1">
        <v>0</v>
      </c>
      <c r="G595" s="4">
        <v>46073</v>
      </c>
      <c r="H595" s="4">
        <v>46076</v>
      </c>
      <c r="I595" s="4">
        <v>46078</v>
      </c>
      <c r="J595" s="4"/>
      <c r="K595" s="1" t="s">
        <v>63</v>
      </c>
      <c r="L595" s="7">
        <f t="shared" si="54"/>
        <v>1</v>
      </c>
      <c r="M595" s="7">
        <f t="shared" si="55"/>
        <v>7</v>
      </c>
      <c r="N595" s="7">
        <f t="shared" si="56"/>
        <v>2</v>
      </c>
      <c r="O595" s="7">
        <f t="shared" si="57"/>
        <v>3</v>
      </c>
      <c r="P595" s="7">
        <f t="shared" si="58"/>
        <v>2</v>
      </c>
      <c r="Q595" s="7" t="str">
        <f>IF(K595="Open",Summary!$B$6-B595,"")</f>
        <v/>
      </c>
      <c r="R595" s="7">
        <f>IF(L595=1,IF(M595&lt;=Summary!$B$5,1,0),"")</f>
        <v>1</v>
      </c>
      <c r="S595" s="1" t="str">
        <f t="shared" si="59"/>
        <v>2026-02</v>
      </c>
    </row>
    <row r="596" spans="1:19" ht="23" customHeight="1">
      <c r="A596" s="1" t="s">
        <v>653</v>
      </c>
      <c r="B596" s="4">
        <v>46066</v>
      </c>
      <c r="C596" s="1" t="s">
        <v>18</v>
      </c>
      <c r="D596" s="1" t="s">
        <v>65</v>
      </c>
      <c r="E596" s="5">
        <v>20000</v>
      </c>
      <c r="F596" s="1">
        <v>1</v>
      </c>
      <c r="G596" s="4">
        <v>46074</v>
      </c>
      <c r="H596" s="4">
        <v>46077</v>
      </c>
      <c r="I596" s="4">
        <v>46078</v>
      </c>
      <c r="J596" s="4"/>
      <c r="K596" s="1" t="s">
        <v>63</v>
      </c>
      <c r="L596" s="7">
        <f t="shared" si="54"/>
        <v>1</v>
      </c>
      <c r="M596" s="7">
        <f t="shared" si="55"/>
        <v>12</v>
      </c>
      <c r="N596" s="7">
        <f t="shared" si="56"/>
        <v>8</v>
      </c>
      <c r="O596" s="7">
        <f t="shared" si="57"/>
        <v>3</v>
      </c>
      <c r="P596" s="7">
        <f t="shared" si="58"/>
        <v>1</v>
      </c>
      <c r="Q596" s="7" t="str">
        <f>IF(K596="Open",Summary!$B$6-B596,"")</f>
        <v/>
      </c>
      <c r="R596" s="7">
        <f>IF(L596=1,IF(M596&lt;=Summary!$B$5,1,0),"")</f>
        <v>0</v>
      </c>
      <c r="S596" s="1" t="str">
        <f t="shared" si="59"/>
        <v>2026-02</v>
      </c>
    </row>
    <row r="597" spans="1:19" ht="23" customHeight="1">
      <c r="A597" s="1" t="s">
        <v>654</v>
      </c>
      <c r="B597" s="4">
        <v>46067</v>
      </c>
      <c r="C597" s="1" t="s">
        <v>19</v>
      </c>
      <c r="D597" s="1" t="s">
        <v>54</v>
      </c>
      <c r="E597" s="5">
        <v>22000</v>
      </c>
      <c r="F597" s="1">
        <v>0</v>
      </c>
      <c r="G597" s="4">
        <v>46069</v>
      </c>
      <c r="H597" s="4">
        <v>46075</v>
      </c>
      <c r="I597" s="4">
        <v>46077</v>
      </c>
      <c r="J597" s="4"/>
      <c r="K597" s="1" t="s">
        <v>55</v>
      </c>
      <c r="L597" s="7">
        <f t="shared" si="54"/>
        <v>1</v>
      </c>
      <c r="M597" s="7">
        <f t="shared" si="55"/>
        <v>10</v>
      </c>
      <c r="N597" s="7">
        <f t="shared" si="56"/>
        <v>2</v>
      </c>
      <c r="O597" s="7">
        <f t="shared" si="57"/>
        <v>6</v>
      </c>
      <c r="P597" s="7">
        <f t="shared" si="58"/>
        <v>2</v>
      </c>
      <c r="Q597" s="7" t="str">
        <f>IF(K597="Open",Summary!$B$6-B597,"")</f>
        <v/>
      </c>
      <c r="R597" s="7">
        <f>IF(L597=1,IF(M597&lt;=Summary!$B$5,1,0),"")</f>
        <v>0</v>
      </c>
      <c r="S597" s="1" t="str">
        <f t="shared" si="59"/>
        <v>2026-02</v>
      </c>
    </row>
    <row r="598" spans="1:19" ht="23" customHeight="1">
      <c r="A598" s="1" t="s">
        <v>655</v>
      </c>
      <c r="B598" s="4">
        <v>46094</v>
      </c>
      <c r="C598" s="1" t="s">
        <v>19</v>
      </c>
      <c r="D598" s="1" t="s">
        <v>54</v>
      </c>
      <c r="E598" s="5">
        <v>17000</v>
      </c>
      <c r="F598" s="1">
        <v>0</v>
      </c>
      <c r="G598" s="4">
        <v>46096</v>
      </c>
      <c r="H598" s="4">
        <v>46102</v>
      </c>
      <c r="I598" s="4">
        <v>46105</v>
      </c>
      <c r="J598" s="4"/>
      <c r="K598" s="1" t="s">
        <v>63</v>
      </c>
      <c r="L598" s="7">
        <f t="shared" si="54"/>
        <v>1</v>
      </c>
      <c r="M598" s="7">
        <f t="shared" si="55"/>
        <v>11</v>
      </c>
      <c r="N598" s="7">
        <f t="shared" si="56"/>
        <v>2</v>
      </c>
      <c r="O598" s="7">
        <f t="shared" si="57"/>
        <v>6</v>
      </c>
      <c r="P598" s="7">
        <f t="shared" si="58"/>
        <v>3</v>
      </c>
      <c r="Q598" s="7" t="str">
        <f>IF(K598="Open",Summary!$B$6-B598,"")</f>
        <v/>
      </c>
      <c r="R598" s="7">
        <f>IF(L598=1,IF(M598&lt;=Summary!$B$5,1,0),"")</f>
        <v>0</v>
      </c>
      <c r="S598" s="1" t="str">
        <f t="shared" si="59"/>
        <v>2026-03</v>
      </c>
    </row>
    <row r="599" spans="1:19" ht="23" customHeight="1">
      <c r="A599" s="1" t="s">
        <v>656</v>
      </c>
      <c r="B599" s="4">
        <v>46053</v>
      </c>
      <c r="C599" s="1" t="s">
        <v>18</v>
      </c>
      <c r="D599" s="1" t="s">
        <v>65</v>
      </c>
      <c r="E599" s="5">
        <v>48000</v>
      </c>
      <c r="F599" s="1">
        <v>0</v>
      </c>
      <c r="G599" s="4">
        <v>46055</v>
      </c>
      <c r="H599" s="4">
        <v>46057</v>
      </c>
      <c r="I599" s="4">
        <v>46058</v>
      </c>
      <c r="J599" s="4"/>
      <c r="K599" s="1" t="s">
        <v>55</v>
      </c>
      <c r="L599" s="7">
        <f t="shared" si="54"/>
        <v>1</v>
      </c>
      <c r="M599" s="7">
        <f t="shared" si="55"/>
        <v>5</v>
      </c>
      <c r="N599" s="7">
        <f t="shared" si="56"/>
        <v>2</v>
      </c>
      <c r="O599" s="7">
        <f t="shared" si="57"/>
        <v>2</v>
      </c>
      <c r="P599" s="7">
        <f t="shared" si="58"/>
        <v>1</v>
      </c>
      <c r="Q599" s="7" t="str">
        <f>IF(K599="Open",Summary!$B$6-B599,"")</f>
        <v/>
      </c>
      <c r="R599" s="7">
        <f>IF(L599=1,IF(M599&lt;=Summary!$B$5,1,0),"")</f>
        <v>1</v>
      </c>
      <c r="S599" s="1" t="str">
        <f t="shared" si="59"/>
        <v>2026-01</v>
      </c>
    </row>
    <row r="600" spans="1:19" ht="23" customHeight="1">
      <c r="A600" s="1" t="s">
        <v>657</v>
      </c>
      <c r="B600" s="4">
        <v>46107</v>
      </c>
      <c r="C600" s="1" t="s">
        <v>19</v>
      </c>
      <c r="D600" s="1" t="s">
        <v>54</v>
      </c>
      <c r="E600" s="5">
        <v>8000</v>
      </c>
      <c r="F600" s="1">
        <v>0</v>
      </c>
      <c r="G600" s="4">
        <v>46108</v>
      </c>
      <c r="H600" s="4">
        <v>46110</v>
      </c>
      <c r="I600" s="4">
        <v>46112</v>
      </c>
      <c r="J600" s="4"/>
      <c r="K600" s="1" t="s">
        <v>55</v>
      </c>
      <c r="L600" s="7">
        <f t="shared" si="54"/>
        <v>1</v>
      </c>
      <c r="M600" s="7">
        <f t="shared" si="55"/>
        <v>5</v>
      </c>
      <c r="N600" s="7">
        <f t="shared" si="56"/>
        <v>1</v>
      </c>
      <c r="O600" s="7">
        <f t="shared" si="57"/>
        <v>2</v>
      </c>
      <c r="P600" s="7">
        <f t="shared" si="58"/>
        <v>2</v>
      </c>
      <c r="Q600" s="7" t="str">
        <f>IF(K600="Open",Summary!$B$6-B600,"")</f>
        <v/>
      </c>
      <c r="R600" s="7">
        <f>IF(L600=1,IF(M600&lt;=Summary!$B$5,1,0),"")</f>
        <v>1</v>
      </c>
      <c r="S600" s="1" t="str">
        <f t="shared" si="59"/>
        <v>2026-03</v>
      </c>
    </row>
    <row r="601" spans="1:19" ht="23" customHeight="1">
      <c r="A601" s="1" t="s">
        <v>658</v>
      </c>
      <c r="B601" s="4">
        <v>46091</v>
      </c>
      <c r="C601" s="1" t="s">
        <v>18</v>
      </c>
      <c r="D601" s="1" t="s">
        <v>65</v>
      </c>
      <c r="E601" s="5">
        <v>25000</v>
      </c>
      <c r="F601" s="1">
        <v>1</v>
      </c>
      <c r="G601" s="4">
        <v>46096</v>
      </c>
      <c r="H601" s="4">
        <v>46101</v>
      </c>
      <c r="I601" s="4">
        <v>46103</v>
      </c>
      <c r="J601" s="4"/>
      <c r="K601" s="1" t="s">
        <v>63</v>
      </c>
      <c r="L601" s="7">
        <f t="shared" si="54"/>
        <v>1</v>
      </c>
      <c r="M601" s="7">
        <f t="shared" si="55"/>
        <v>12</v>
      </c>
      <c r="N601" s="7">
        <f t="shared" si="56"/>
        <v>5</v>
      </c>
      <c r="O601" s="7">
        <f t="shared" si="57"/>
        <v>5</v>
      </c>
      <c r="P601" s="7">
        <f t="shared" si="58"/>
        <v>2</v>
      </c>
      <c r="Q601" s="7" t="str">
        <f>IF(K601="Open",Summary!$B$6-B601,"")</f>
        <v/>
      </c>
      <c r="R601" s="7">
        <f>IF(L601=1,IF(M601&lt;=Summary!$B$5,1,0),"")</f>
        <v>0</v>
      </c>
      <c r="S601" s="1" t="str">
        <f t="shared" si="59"/>
        <v>2026-03</v>
      </c>
    </row>
    <row r="602" spans="1:19" ht="23" customHeight="1">
      <c r="A602" s="1" t="s">
        <v>659</v>
      </c>
      <c r="B602" s="4">
        <v>46089</v>
      </c>
      <c r="C602" s="1" t="s">
        <v>19</v>
      </c>
      <c r="D602" s="1" t="s">
        <v>54</v>
      </c>
      <c r="E602" s="5">
        <v>30000</v>
      </c>
      <c r="F602" s="1">
        <v>0</v>
      </c>
      <c r="G602" s="4">
        <v>46090</v>
      </c>
      <c r="H602" s="4">
        <v>46093</v>
      </c>
      <c r="I602" s="4">
        <v>46096</v>
      </c>
      <c r="J602" s="4"/>
      <c r="K602" s="1" t="s">
        <v>55</v>
      </c>
      <c r="L602" s="7">
        <f t="shared" si="54"/>
        <v>1</v>
      </c>
      <c r="M602" s="7">
        <f t="shared" si="55"/>
        <v>7</v>
      </c>
      <c r="N602" s="7">
        <f t="shared" si="56"/>
        <v>1</v>
      </c>
      <c r="O602" s="7">
        <f t="shared" si="57"/>
        <v>3</v>
      </c>
      <c r="P602" s="7">
        <f t="shared" si="58"/>
        <v>3</v>
      </c>
      <c r="Q602" s="7" t="str">
        <f>IF(K602="Open",Summary!$B$6-B602,"")</f>
        <v/>
      </c>
      <c r="R602" s="7">
        <f>IF(L602=1,IF(M602&lt;=Summary!$B$5,1,0),"")</f>
        <v>1</v>
      </c>
      <c r="S602" s="1" t="str">
        <f t="shared" si="59"/>
        <v>2026-03</v>
      </c>
    </row>
    <row r="603" spans="1:19" ht="23" customHeight="1">
      <c r="A603" s="1" t="s">
        <v>660</v>
      </c>
      <c r="B603" s="4">
        <v>46045</v>
      </c>
      <c r="C603" s="1" t="s">
        <v>19</v>
      </c>
      <c r="D603" s="1" t="s">
        <v>54</v>
      </c>
      <c r="E603" s="5">
        <v>46000</v>
      </c>
      <c r="F603" s="1">
        <v>1</v>
      </c>
      <c r="G603" s="4">
        <v>46049</v>
      </c>
      <c r="H603" s="4">
        <v>46053</v>
      </c>
      <c r="I603" s="4">
        <v>46054</v>
      </c>
      <c r="J603" s="4"/>
      <c r="K603" s="1" t="s">
        <v>55</v>
      </c>
      <c r="L603" s="7">
        <f t="shared" si="54"/>
        <v>1</v>
      </c>
      <c r="M603" s="7">
        <f t="shared" si="55"/>
        <v>9</v>
      </c>
      <c r="N603" s="7">
        <f t="shared" si="56"/>
        <v>4</v>
      </c>
      <c r="O603" s="7">
        <f t="shared" si="57"/>
        <v>4</v>
      </c>
      <c r="P603" s="7">
        <f t="shared" si="58"/>
        <v>1</v>
      </c>
      <c r="Q603" s="7" t="str">
        <f>IF(K603="Open",Summary!$B$6-B603,"")</f>
        <v/>
      </c>
      <c r="R603" s="7">
        <f>IF(L603=1,IF(M603&lt;=Summary!$B$5,1,0),"")</f>
        <v>0</v>
      </c>
      <c r="S603" s="1" t="str">
        <f t="shared" si="59"/>
        <v>2026-01</v>
      </c>
    </row>
    <row r="604" spans="1:19" ht="23" customHeight="1">
      <c r="A604" s="1" t="s">
        <v>661</v>
      </c>
      <c r="B604" s="4">
        <v>46037</v>
      </c>
      <c r="C604" s="1" t="s">
        <v>18</v>
      </c>
      <c r="D604" s="1" t="s">
        <v>71</v>
      </c>
      <c r="E604" s="5">
        <v>23000</v>
      </c>
      <c r="F604" s="1">
        <v>0</v>
      </c>
      <c r="G604" s="4">
        <v>46038</v>
      </c>
      <c r="H604" s="4">
        <v>46043</v>
      </c>
      <c r="I604" s="4">
        <v>46046</v>
      </c>
      <c r="J604" s="4"/>
      <c r="K604" s="1" t="s">
        <v>63</v>
      </c>
      <c r="L604" s="7">
        <f t="shared" si="54"/>
        <v>1</v>
      </c>
      <c r="M604" s="7">
        <f t="shared" si="55"/>
        <v>9</v>
      </c>
      <c r="N604" s="7">
        <f t="shared" si="56"/>
        <v>1</v>
      </c>
      <c r="O604" s="7">
        <f t="shared" si="57"/>
        <v>5</v>
      </c>
      <c r="P604" s="7">
        <f t="shared" si="58"/>
        <v>3</v>
      </c>
      <c r="Q604" s="7" t="str">
        <f>IF(K604="Open",Summary!$B$6-B604,"")</f>
        <v/>
      </c>
      <c r="R604" s="7">
        <f>IF(L604=1,IF(M604&lt;=Summary!$B$5,1,0),"")</f>
        <v>0</v>
      </c>
      <c r="S604" s="1" t="str">
        <f t="shared" si="59"/>
        <v>2026-01</v>
      </c>
    </row>
    <row r="605" spans="1:19" ht="23" customHeight="1">
      <c r="A605" s="1"/>
      <c r="B605" s="1"/>
      <c r="C605" s="1"/>
      <c r="D605" s="1"/>
      <c r="E605" s="1"/>
      <c r="F605" s="1"/>
      <c r="G605" s="1"/>
      <c r="H605" s="1"/>
      <c r="I605" s="1"/>
      <c r="J605" s="1"/>
      <c r="K605" s="1"/>
      <c r="L605" s="1"/>
      <c r="M605" s="1"/>
      <c r="N605" s="1"/>
      <c r="O605" s="1"/>
      <c r="P605" s="1"/>
      <c r="Q605" s="1"/>
      <c r="R605" s="1"/>
      <c r="S605" s="1"/>
    </row>
    <row r="606" spans="1:19" ht="23" customHeight="1">
      <c r="A606" s="1"/>
      <c r="B606" s="1"/>
      <c r="C606" s="1"/>
      <c r="D606" s="1"/>
      <c r="E606" s="1"/>
      <c r="F606" s="1"/>
      <c r="G606" s="1"/>
      <c r="H606" s="1"/>
      <c r="I606" s="1"/>
      <c r="J606" s="1"/>
      <c r="K606" s="1"/>
      <c r="L606" s="1"/>
      <c r="M606" s="1"/>
      <c r="N606" s="1"/>
      <c r="O606" s="1"/>
      <c r="P606" s="1"/>
      <c r="Q606" s="1"/>
      <c r="R606" s="1"/>
      <c r="S606" s="1"/>
    </row>
    <row r="607" spans="1:19" ht="23" customHeight="1">
      <c r="A607" s="1"/>
      <c r="B607" s="1"/>
      <c r="C607" s="1"/>
      <c r="D607" s="1"/>
      <c r="E607" s="1"/>
      <c r="F607" s="1"/>
      <c r="G607" s="1"/>
      <c r="H607" s="1"/>
      <c r="I607" s="1"/>
      <c r="J607" s="1"/>
      <c r="K607" s="1"/>
      <c r="L607" s="1"/>
      <c r="M607" s="1"/>
      <c r="N607" s="1"/>
      <c r="O607" s="1"/>
      <c r="P607" s="1"/>
      <c r="Q607" s="1"/>
      <c r="R607" s="1"/>
      <c r="S607" s="1"/>
    </row>
    <row r="608" spans="1:19" ht="23" customHeight="1">
      <c r="A608" s="1"/>
      <c r="B608" s="1"/>
      <c r="C608" s="1"/>
      <c r="D608" s="1"/>
      <c r="E608" s="1"/>
      <c r="F608" s="1"/>
      <c r="G608" s="1"/>
      <c r="H608" s="1"/>
      <c r="I608" s="1"/>
      <c r="J608" s="1"/>
      <c r="K608" s="1"/>
      <c r="L608" s="1"/>
      <c r="M608" s="1"/>
      <c r="N608" s="1"/>
      <c r="O608" s="1"/>
      <c r="P608" s="1"/>
      <c r="Q608" s="1"/>
      <c r="R608" s="1"/>
      <c r="S608" s="1"/>
    </row>
    <row r="609" spans="1:19" ht="23" customHeight="1">
      <c r="A609" s="1"/>
      <c r="B609" s="1"/>
      <c r="C609" s="1"/>
      <c r="D609" s="1"/>
      <c r="E609" s="1"/>
      <c r="F609" s="1"/>
      <c r="G609" s="1"/>
      <c r="H609" s="1"/>
      <c r="I609" s="1"/>
      <c r="J609" s="1"/>
      <c r="K609" s="1"/>
      <c r="L609" s="1"/>
      <c r="M609" s="1"/>
      <c r="N609" s="1"/>
      <c r="O609" s="1"/>
      <c r="P609" s="1"/>
      <c r="Q609" s="1"/>
      <c r="R609" s="1"/>
      <c r="S609" s="1"/>
    </row>
    <row r="610" spans="1:19" ht="23" customHeight="1">
      <c r="A610" s="1"/>
      <c r="B610" s="1"/>
      <c r="C610" s="1"/>
      <c r="D610" s="1"/>
      <c r="E610" s="1"/>
      <c r="F610" s="1"/>
      <c r="G610" s="1"/>
      <c r="H610" s="1"/>
      <c r="I610" s="1"/>
      <c r="J610" s="1"/>
      <c r="K610" s="1"/>
      <c r="L610" s="1"/>
      <c r="M610" s="1"/>
      <c r="N610" s="1"/>
      <c r="O610" s="1"/>
      <c r="P610" s="1"/>
      <c r="Q610" s="1"/>
      <c r="R610" s="1"/>
      <c r="S610" s="1"/>
    </row>
    <row r="611" spans="1:19" ht="23" customHeight="1">
      <c r="A611" s="1"/>
      <c r="B611" s="1"/>
      <c r="C611" s="1"/>
      <c r="D611" s="1"/>
      <c r="E611" s="1"/>
      <c r="F611" s="1"/>
      <c r="G611" s="1"/>
      <c r="H611" s="1"/>
      <c r="I611" s="1"/>
      <c r="J611" s="1"/>
      <c r="K611" s="1"/>
      <c r="L611" s="1"/>
      <c r="M611" s="1"/>
      <c r="N611" s="1"/>
      <c r="O611" s="1"/>
      <c r="P611" s="1"/>
      <c r="Q611" s="1"/>
      <c r="R611" s="1"/>
      <c r="S611" s="1"/>
    </row>
    <row r="612" spans="1:19" ht="23" customHeight="1">
      <c r="A612" s="1"/>
      <c r="B612" s="1"/>
      <c r="C612" s="1"/>
      <c r="D612" s="1"/>
      <c r="E612" s="1"/>
      <c r="F612" s="1"/>
      <c r="G612" s="1"/>
      <c r="H612" s="1"/>
      <c r="I612" s="1"/>
      <c r="J612" s="1"/>
      <c r="K612" s="1"/>
      <c r="L612" s="1"/>
      <c r="M612" s="1"/>
      <c r="N612" s="1"/>
      <c r="O612" s="1"/>
      <c r="P612" s="1"/>
      <c r="Q612" s="1"/>
      <c r="R612" s="1"/>
      <c r="S612" s="1"/>
    </row>
    <row r="613" spans="1:19" ht="23" customHeight="1">
      <c r="A613" s="1"/>
      <c r="B613" s="1"/>
      <c r="C613" s="1"/>
      <c r="D613" s="1"/>
      <c r="E613" s="1"/>
      <c r="F613" s="1"/>
      <c r="G613" s="1"/>
      <c r="H613" s="1"/>
      <c r="I613" s="1"/>
      <c r="J613" s="1"/>
      <c r="K613" s="1"/>
      <c r="L613" s="1"/>
      <c r="M613" s="1"/>
      <c r="N613" s="1"/>
      <c r="O613" s="1"/>
      <c r="P613" s="1"/>
      <c r="Q613" s="1"/>
      <c r="R613" s="1"/>
      <c r="S613" s="1"/>
    </row>
    <row r="614" spans="1:19" ht="23" customHeight="1">
      <c r="A614" s="1"/>
      <c r="B614" s="1"/>
      <c r="C614" s="1"/>
      <c r="D614" s="1"/>
      <c r="E614" s="1"/>
      <c r="F614" s="1"/>
      <c r="G614" s="1"/>
      <c r="H614" s="1"/>
      <c r="I614" s="1"/>
      <c r="J614" s="1"/>
      <c r="K614" s="1"/>
      <c r="L614" s="1"/>
      <c r="M614" s="1"/>
      <c r="N614" s="1"/>
      <c r="O614" s="1"/>
      <c r="P614" s="1"/>
      <c r="Q614" s="1"/>
      <c r="R614" s="1"/>
      <c r="S614" s="1"/>
    </row>
    <row r="615" spans="1:19" ht="23" customHeight="1">
      <c r="A615" s="1"/>
      <c r="B615" s="1"/>
      <c r="C615" s="1"/>
      <c r="D615" s="1"/>
      <c r="E615" s="1"/>
      <c r="F615" s="1"/>
      <c r="G615" s="1"/>
      <c r="H615" s="1"/>
      <c r="I615" s="1"/>
      <c r="J615" s="1"/>
      <c r="K615" s="1"/>
      <c r="L615" s="1"/>
      <c r="M615" s="1"/>
      <c r="N615" s="1"/>
      <c r="O615" s="1"/>
      <c r="P615" s="1"/>
      <c r="Q615" s="1"/>
      <c r="R615" s="1"/>
      <c r="S615" s="1"/>
    </row>
    <row r="616" spans="1:19" ht="23" customHeight="1">
      <c r="A616" s="1"/>
      <c r="B616" s="1"/>
      <c r="C616" s="1"/>
      <c r="D616" s="1"/>
      <c r="E616" s="1"/>
      <c r="F616" s="1"/>
      <c r="G616" s="1"/>
      <c r="H616" s="1"/>
      <c r="I616" s="1"/>
      <c r="J616" s="1"/>
      <c r="K616" s="1"/>
      <c r="L616" s="1"/>
      <c r="M616" s="1"/>
      <c r="N616" s="1"/>
      <c r="O616" s="1"/>
      <c r="P616" s="1"/>
      <c r="Q616" s="1"/>
      <c r="R616" s="1"/>
      <c r="S616" s="1"/>
    </row>
    <row r="617" spans="1:19" ht="23" customHeight="1">
      <c r="A617" s="1"/>
      <c r="B617" s="1"/>
      <c r="C617" s="1"/>
      <c r="D617" s="1"/>
      <c r="E617" s="1"/>
      <c r="F617" s="1"/>
      <c r="G617" s="1"/>
      <c r="H617" s="1"/>
      <c r="I617" s="1"/>
      <c r="J617" s="1"/>
      <c r="K617" s="1"/>
      <c r="L617" s="1"/>
      <c r="M617" s="1"/>
      <c r="N617" s="1"/>
      <c r="O617" s="1"/>
      <c r="P617" s="1"/>
      <c r="Q617" s="1"/>
      <c r="R617" s="1"/>
      <c r="S617" s="1"/>
    </row>
    <row r="618" spans="1:19" ht="23" customHeight="1">
      <c r="A618" s="1"/>
      <c r="B618" s="1"/>
      <c r="C618" s="1"/>
      <c r="D618" s="1"/>
      <c r="E618" s="1"/>
      <c r="F618" s="1"/>
      <c r="G618" s="1"/>
      <c r="H618" s="1"/>
      <c r="I618" s="1"/>
      <c r="J618" s="1"/>
      <c r="K618" s="1"/>
      <c r="L618" s="1"/>
      <c r="M618" s="1"/>
      <c r="N618" s="1"/>
      <c r="O618" s="1"/>
      <c r="P618" s="1"/>
      <c r="Q618" s="1"/>
      <c r="R618" s="1"/>
      <c r="S618" s="1"/>
    </row>
    <row r="619" spans="1:19" ht="23" customHeight="1">
      <c r="A619" s="1"/>
      <c r="B619" s="1"/>
      <c r="C619" s="1"/>
      <c r="D619" s="1"/>
      <c r="E619" s="1"/>
      <c r="F619" s="1"/>
      <c r="G619" s="1"/>
      <c r="H619" s="1"/>
      <c r="I619" s="1"/>
      <c r="J619" s="1"/>
      <c r="K619" s="1"/>
      <c r="L619" s="1"/>
      <c r="M619" s="1"/>
      <c r="N619" s="1"/>
      <c r="O619" s="1"/>
      <c r="P619" s="1"/>
      <c r="Q619" s="1"/>
      <c r="R619" s="1"/>
      <c r="S619" s="1"/>
    </row>
    <row r="620" spans="1:19" ht="23" customHeight="1">
      <c r="A620" s="1"/>
      <c r="B620" s="1"/>
      <c r="C620" s="1"/>
      <c r="D620" s="1"/>
      <c r="E620" s="1"/>
      <c r="F620" s="1"/>
      <c r="G620" s="1"/>
      <c r="H620" s="1"/>
      <c r="I620" s="1"/>
      <c r="J620" s="1"/>
      <c r="K620" s="1"/>
      <c r="L620" s="1"/>
      <c r="M620" s="1"/>
      <c r="N620" s="1"/>
      <c r="O620" s="1"/>
      <c r="P620" s="1"/>
      <c r="Q620" s="1"/>
      <c r="R620" s="1"/>
      <c r="S620" s="1"/>
    </row>
  </sheetData>
  <mergeCells count="1">
    <mergeCell ref="A2:K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20"/>
  <sheetViews>
    <sheetView showGridLines="0" workbookViewId="0">
      <pane xSplit="1" ySplit="4" topLeftCell="B5" activePane="bottomRight" state="frozen"/>
      <selection pane="topRight"/>
      <selection pane="bottomLeft"/>
      <selection pane="bottomRight" activeCell="B5" sqref="B5"/>
    </sheetView>
  </sheetViews>
  <sheetFormatPr defaultRowHeight="13.5"/>
  <cols>
    <col min="1" max="3" width="19" customWidth="1"/>
    <col min="4" max="4" width="14" customWidth="1"/>
    <col min="5" max="5" width="19" customWidth="1"/>
    <col min="6" max="6" width="23" customWidth="1"/>
    <col min="7" max="19" width="19" customWidth="1"/>
  </cols>
  <sheetData>
    <row r="1" spans="1:19" ht="23" customHeight="1">
      <c r="A1" s="1"/>
      <c r="B1" s="1"/>
      <c r="C1" s="1"/>
      <c r="D1" s="1"/>
      <c r="E1" s="1"/>
      <c r="F1" s="1"/>
      <c r="G1" s="1"/>
      <c r="H1" s="1"/>
      <c r="I1" s="1"/>
      <c r="J1" s="1"/>
      <c r="K1" s="1"/>
      <c r="L1" s="1"/>
      <c r="M1" s="1"/>
      <c r="N1" s="1"/>
      <c r="O1" s="1"/>
      <c r="P1" s="1"/>
      <c r="Q1" s="1"/>
      <c r="R1" s="1"/>
      <c r="S1" s="1"/>
    </row>
    <row r="2" spans="1:19" ht="23" customHeight="1">
      <c r="A2" s="12" t="s">
        <v>662</v>
      </c>
      <c r="B2" s="12"/>
      <c r="C2" s="12"/>
      <c r="D2" s="12"/>
      <c r="E2" s="12"/>
      <c r="F2" s="12"/>
      <c r="G2" s="12"/>
      <c r="H2" s="12"/>
      <c r="I2" s="12"/>
      <c r="J2" s="12"/>
      <c r="K2" s="12"/>
      <c r="L2" s="1"/>
      <c r="M2" s="1"/>
      <c r="N2" s="1"/>
      <c r="O2" s="1"/>
      <c r="P2" s="1"/>
      <c r="Q2" s="1"/>
      <c r="R2" s="1"/>
      <c r="S2" s="1"/>
    </row>
    <row r="3" spans="1:19" ht="23" customHeight="1">
      <c r="A3" s="1"/>
      <c r="B3" s="1"/>
      <c r="C3" s="1"/>
      <c r="D3" s="1"/>
      <c r="E3" s="1"/>
      <c r="F3" s="1"/>
      <c r="G3" s="1"/>
      <c r="H3" s="1"/>
      <c r="I3" s="1"/>
      <c r="J3" s="1"/>
      <c r="K3" s="1"/>
      <c r="L3" s="1"/>
      <c r="M3" s="1"/>
      <c r="N3" s="1"/>
      <c r="O3" s="1"/>
      <c r="P3" s="1"/>
      <c r="Q3" s="1"/>
      <c r="R3" s="1"/>
      <c r="S3" s="1"/>
    </row>
    <row r="4" spans="1:19" ht="38" customHeight="1">
      <c r="A4" s="6" t="s">
        <v>34</v>
      </c>
      <c r="B4" s="6" t="s">
        <v>35</v>
      </c>
      <c r="C4" s="6" t="s">
        <v>36</v>
      </c>
      <c r="D4" s="6" t="s">
        <v>37</v>
      </c>
      <c r="E4" s="6" t="s">
        <v>38</v>
      </c>
      <c r="F4" s="6" t="s">
        <v>39</v>
      </c>
      <c r="G4" s="6" t="s">
        <v>40</v>
      </c>
      <c r="H4" s="6" t="s">
        <v>41</v>
      </c>
      <c r="I4" s="6" t="s">
        <v>42</v>
      </c>
      <c r="J4" s="6" t="s">
        <v>43</v>
      </c>
      <c r="K4" s="6" t="s">
        <v>44</v>
      </c>
      <c r="L4" s="1"/>
      <c r="M4" s="1"/>
      <c r="N4" s="1"/>
      <c r="O4" s="1"/>
      <c r="P4" s="1"/>
      <c r="Q4" s="1"/>
      <c r="R4" s="1"/>
      <c r="S4" s="1"/>
    </row>
    <row r="5" spans="1:19" ht="23" customHeight="1">
      <c r="A5" s="1" t="s">
        <v>53</v>
      </c>
      <c r="B5" s="4">
        <v>46040</v>
      </c>
      <c r="C5" s="1" t="s">
        <v>663</v>
      </c>
      <c r="D5" s="1" t="s">
        <v>54</v>
      </c>
      <c r="E5" s="5">
        <v>16000</v>
      </c>
      <c r="F5" s="1">
        <v>0</v>
      </c>
      <c r="G5" s="4">
        <v>46042</v>
      </c>
      <c r="H5" s="4">
        <v>46046</v>
      </c>
      <c r="I5" s="4">
        <v>46049</v>
      </c>
      <c r="J5" s="4"/>
      <c r="K5" s="1" t="s">
        <v>55</v>
      </c>
      <c r="L5" s="1"/>
      <c r="M5" s="1"/>
      <c r="N5" s="1"/>
      <c r="O5" s="1"/>
      <c r="P5" s="1"/>
      <c r="Q5" s="1"/>
      <c r="R5" s="1"/>
      <c r="S5" s="1"/>
    </row>
    <row r="6" spans="1:19" ht="23" customHeight="1">
      <c r="A6" s="1" t="s">
        <v>56</v>
      </c>
      <c r="B6" s="4">
        <v>46035</v>
      </c>
      <c r="C6" s="1" t="s">
        <v>663</v>
      </c>
      <c r="D6" s="1" t="s">
        <v>54</v>
      </c>
      <c r="E6" s="5">
        <v>15000</v>
      </c>
      <c r="F6" s="1">
        <v>0</v>
      </c>
      <c r="G6" s="4">
        <v>46037</v>
      </c>
      <c r="H6" s="4">
        <v>46039</v>
      </c>
      <c r="I6" s="4">
        <v>46042</v>
      </c>
      <c r="J6" s="4"/>
      <c r="K6" s="1" t="s">
        <v>55</v>
      </c>
      <c r="L6" s="1"/>
      <c r="M6" s="1"/>
      <c r="N6" s="1"/>
      <c r="O6" s="1"/>
      <c r="P6" s="1"/>
      <c r="Q6" s="1"/>
      <c r="R6" s="1"/>
      <c r="S6" s="1"/>
    </row>
    <row r="7" spans="1:19" ht="23" customHeight="1">
      <c r="A7" s="1" t="s">
        <v>57</v>
      </c>
      <c r="B7" s="4">
        <v>46103</v>
      </c>
      <c r="C7" s="1" t="s">
        <v>663</v>
      </c>
      <c r="D7" s="1" t="s">
        <v>54</v>
      </c>
      <c r="E7" s="5">
        <v>43000</v>
      </c>
      <c r="F7" s="1">
        <v>0</v>
      </c>
      <c r="G7" s="4">
        <v>46105</v>
      </c>
      <c r="H7" s="4">
        <v>46106</v>
      </c>
      <c r="I7" s="4">
        <v>46109</v>
      </c>
      <c r="J7" s="4"/>
      <c r="K7" s="1" t="s">
        <v>55</v>
      </c>
      <c r="L7" s="1"/>
      <c r="M7" s="1"/>
      <c r="N7" s="1"/>
      <c r="O7" s="1"/>
      <c r="P7" s="1"/>
      <c r="Q7" s="1"/>
      <c r="R7" s="1"/>
      <c r="S7" s="1"/>
    </row>
    <row r="8" spans="1:19" ht="23" customHeight="1">
      <c r="A8" s="1" t="s">
        <v>58</v>
      </c>
      <c r="B8" s="4">
        <v>46083</v>
      </c>
      <c r="C8" s="1" t="s">
        <v>664</v>
      </c>
      <c r="D8" s="1" t="s">
        <v>59</v>
      </c>
      <c r="E8" s="5">
        <v>12000</v>
      </c>
      <c r="F8" s="1">
        <v>0</v>
      </c>
      <c r="G8" s="4">
        <v>46085</v>
      </c>
      <c r="H8" s="4">
        <v>46088</v>
      </c>
      <c r="I8" s="4">
        <v>46091</v>
      </c>
      <c r="J8" s="4"/>
      <c r="K8" s="1" t="s">
        <v>55</v>
      </c>
      <c r="L8" s="1"/>
      <c r="M8" s="1"/>
      <c r="N8" s="1"/>
      <c r="O8" s="1"/>
      <c r="P8" s="1"/>
      <c r="Q8" s="1"/>
      <c r="R8" s="1"/>
      <c r="S8" s="1"/>
    </row>
    <row r="9" spans="1:19" ht="23" customHeight="1">
      <c r="A9" s="1" t="s">
        <v>60</v>
      </c>
      <c r="B9" s="4">
        <v>46078</v>
      </c>
      <c r="C9" s="1" t="s">
        <v>663</v>
      </c>
      <c r="D9" s="1" t="s">
        <v>54</v>
      </c>
      <c r="E9" s="5">
        <v>6000</v>
      </c>
      <c r="F9" s="1">
        <v>0</v>
      </c>
      <c r="G9" s="4">
        <v>46080</v>
      </c>
      <c r="H9" s="4">
        <v>46085</v>
      </c>
      <c r="I9" s="4">
        <v>46086</v>
      </c>
      <c r="J9" s="4"/>
      <c r="K9" s="1" t="s">
        <v>55</v>
      </c>
      <c r="L9" s="1"/>
      <c r="M9" s="1"/>
      <c r="N9" s="1"/>
      <c r="O9" s="1"/>
      <c r="P9" s="1"/>
      <c r="Q9" s="1"/>
      <c r="R9" s="1"/>
      <c r="S9" s="1"/>
    </row>
    <row r="10" spans="1:19" ht="23" customHeight="1">
      <c r="A10" s="1" t="s">
        <v>61</v>
      </c>
      <c r="B10" s="4">
        <v>46083</v>
      </c>
      <c r="C10" s="1" t="s">
        <v>664</v>
      </c>
      <c r="D10" s="1" t="s">
        <v>62</v>
      </c>
      <c r="E10" s="5">
        <v>38000</v>
      </c>
      <c r="F10" s="1">
        <v>0</v>
      </c>
      <c r="G10" s="4">
        <v>46083</v>
      </c>
      <c r="H10" s="4">
        <v>46087</v>
      </c>
      <c r="I10" s="4">
        <v>46089</v>
      </c>
      <c r="J10" s="4"/>
      <c r="K10" s="1" t="s">
        <v>63</v>
      </c>
      <c r="L10" s="1"/>
      <c r="M10" s="1"/>
      <c r="N10" s="1"/>
      <c r="O10" s="1"/>
      <c r="P10" s="1"/>
      <c r="Q10" s="1"/>
      <c r="R10" s="1"/>
      <c r="S10" s="1"/>
    </row>
    <row r="11" spans="1:19" ht="23" customHeight="1">
      <c r="A11" s="1" t="s">
        <v>64</v>
      </c>
      <c r="B11" s="4">
        <v>46092</v>
      </c>
      <c r="C11" s="1" t="s">
        <v>664</v>
      </c>
      <c r="D11" s="1" t="s">
        <v>65</v>
      </c>
      <c r="E11" s="5">
        <v>13000</v>
      </c>
      <c r="F11" s="1">
        <v>0</v>
      </c>
      <c r="G11" s="4">
        <v>46093</v>
      </c>
      <c r="H11" s="4">
        <v>46097</v>
      </c>
      <c r="I11" s="4">
        <v>46099</v>
      </c>
      <c r="J11" s="4"/>
      <c r="K11" s="1" t="s">
        <v>55</v>
      </c>
      <c r="L11" s="1"/>
      <c r="M11" s="1"/>
      <c r="N11" s="1"/>
      <c r="O11" s="1"/>
      <c r="P11" s="1"/>
      <c r="Q11" s="1"/>
      <c r="R11" s="1"/>
      <c r="S11" s="1"/>
    </row>
    <row r="12" spans="1:19" ht="23" customHeight="1">
      <c r="A12" s="1" t="s">
        <v>66</v>
      </c>
      <c r="B12" s="4">
        <v>46038</v>
      </c>
      <c r="C12" s="1" t="s">
        <v>664</v>
      </c>
      <c r="D12" s="1" t="s">
        <v>62</v>
      </c>
      <c r="E12" s="5">
        <v>43000</v>
      </c>
      <c r="F12" s="1">
        <v>0</v>
      </c>
      <c r="G12" s="4">
        <v>46040</v>
      </c>
      <c r="H12" s="4">
        <v>46043</v>
      </c>
      <c r="I12" s="4">
        <v>46045</v>
      </c>
      <c r="J12" s="4"/>
      <c r="K12" s="1" t="s">
        <v>55</v>
      </c>
      <c r="L12" s="1"/>
      <c r="M12" s="1"/>
      <c r="N12" s="1"/>
      <c r="O12" s="1"/>
      <c r="P12" s="1"/>
      <c r="Q12" s="1"/>
      <c r="R12" s="1"/>
      <c r="S12" s="1"/>
    </row>
    <row r="13" spans="1:19" ht="23" customHeight="1">
      <c r="A13" s="1" t="s">
        <v>67</v>
      </c>
      <c r="B13" s="4">
        <v>46103</v>
      </c>
      <c r="C13" s="1" t="s">
        <v>664</v>
      </c>
      <c r="D13" s="1" t="s">
        <v>65</v>
      </c>
      <c r="E13" s="5">
        <v>29000</v>
      </c>
      <c r="F13" s="1">
        <v>1</v>
      </c>
      <c r="G13" s="4">
        <v>46107</v>
      </c>
      <c r="H13" s="4">
        <v>46110</v>
      </c>
      <c r="I13" s="4">
        <v>46111</v>
      </c>
      <c r="J13" s="4"/>
      <c r="K13" s="1" t="s">
        <v>63</v>
      </c>
      <c r="L13" s="1"/>
      <c r="M13" s="1"/>
      <c r="N13" s="1"/>
      <c r="O13" s="1"/>
      <c r="P13" s="1"/>
      <c r="Q13" s="1"/>
      <c r="R13" s="1"/>
      <c r="S13" s="1"/>
    </row>
    <row r="14" spans="1:19" ht="23" customHeight="1">
      <c r="A14" s="1" t="s">
        <v>68</v>
      </c>
      <c r="B14" s="4">
        <v>46110</v>
      </c>
      <c r="C14" s="1" t="s">
        <v>663</v>
      </c>
      <c r="D14" s="1" t="s">
        <v>54</v>
      </c>
      <c r="E14" s="5">
        <v>12000</v>
      </c>
      <c r="F14" s="1">
        <v>0</v>
      </c>
      <c r="G14" s="4">
        <v>46110</v>
      </c>
      <c r="H14" s="4"/>
      <c r="I14" s="4"/>
      <c r="J14" s="4"/>
      <c r="K14" s="1" t="s">
        <v>69</v>
      </c>
      <c r="L14" s="1"/>
      <c r="M14" s="1"/>
      <c r="N14" s="1"/>
      <c r="O14" s="1"/>
      <c r="P14" s="1"/>
      <c r="Q14" s="1"/>
      <c r="R14" s="1"/>
      <c r="S14" s="1"/>
    </row>
    <row r="15" spans="1:19" ht="23" customHeight="1">
      <c r="A15" s="1" t="s">
        <v>70</v>
      </c>
      <c r="B15" s="4">
        <v>46046</v>
      </c>
      <c r="C15" s="1" t="s">
        <v>664</v>
      </c>
      <c r="D15" s="1" t="s">
        <v>71</v>
      </c>
      <c r="E15" s="5">
        <v>33000</v>
      </c>
      <c r="F15" s="1">
        <v>1</v>
      </c>
      <c r="G15" s="4">
        <v>46056</v>
      </c>
      <c r="H15" s="4">
        <v>46057</v>
      </c>
      <c r="I15" s="4">
        <v>46058</v>
      </c>
      <c r="J15" s="4"/>
      <c r="K15" s="1" t="s">
        <v>63</v>
      </c>
      <c r="L15" s="1"/>
      <c r="M15" s="1"/>
      <c r="N15" s="1"/>
      <c r="O15" s="1"/>
      <c r="P15" s="1"/>
      <c r="Q15" s="1"/>
      <c r="R15" s="1"/>
      <c r="S15" s="1"/>
    </row>
    <row r="16" spans="1:19" ht="23" customHeight="1">
      <c r="A16" s="1" t="s">
        <v>72</v>
      </c>
      <c r="B16" s="4">
        <v>46100</v>
      </c>
      <c r="C16" s="1" t="s">
        <v>664</v>
      </c>
      <c r="D16" s="1" t="s">
        <v>59</v>
      </c>
      <c r="E16" s="5">
        <v>30000</v>
      </c>
      <c r="F16" s="1">
        <v>0</v>
      </c>
      <c r="G16" s="4">
        <v>46100</v>
      </c>
      <c r="H16" s="4">
        <v>46104</v>
      </c>
      <c r="I16" s="4">
        <v>46106</v>
      </c>
      <c r="J16" s="4"/>
      <c r="K16" s="1" t="s">
        <v>63</v>
      </c>
      <c r="L16" s="1"/>
      <c r="M16" s="1"/>
      <c r="N16" s="1"/>
      <c r="O16" s="1"/>
      <c r="P16" s="1"/>
      <c r="Q16" s="1"/>
      <c r="R16" s="1"/>
      <c r="S16" s="1"/>
    </row>
    <row r="17" spans="1:19" ht="23" customHeight="1">
      <c r="A17" s="1" t="s">
        <v>73</v>
      </c>
      <c r="B17" s="4">
        <v>46078</v>
      </c>
      <c r="C17" s="1" t="s">
        <v>664</v>
      </c>
      <c r="D17" s="1" t="s">
        <v>62</v>
      </c>
      <c r="E17" s="5">
        <v>30000</v>
      </c>
      <c r="F17" s="1">
        <v>0</v>
      </c>
      <c r="G17" s="4">
        <v>46080</v>
      </c>
      <c r="H17" s="4">
        <v>46086</v>
      </c>
      <c r="I17" s="4">
        <v>46087</v>
      </c>
      <c r="J17" s="4"/>
      <c r="K17" s="1" t="s">
        <v>55</v>
      </c>
      <c r="L17" s="1"/>
      <c r="M17" s="1"/>
      <c r="N17" s="1"/>
      <c r="O17" s="1"/>
      <c r="P17" s="1"/>
      <c r="Q17" s="1"/>
      <c r="R17" s="1"/>
      <c r="S17" s="1"/>
    </row>
    <row r="18" spans="1:19" ht="23" customHeight="1">
      <c r="A18" s="1" t="s">
        <v>74</v>
      </c>
      <c r="B18" s="4">
        <v>46074</v>
      </c>
      <c r="C18" s="1" t="s">
        <v>663</v>
      </c>
      <c r="D18" s="1" t="s">
        <v>54</v>
      </c>
      <c r="E18" s="5">
        <v>20000</v>
      </c>
      <c r="F18" s="1">
        <v>0</v>
      </c>
      <c r="G18" s="4">
        <v>46075</v>
      </c>
      <c r="H18" s="4">
        <v>46081</v>
      </c>
      <c r="I18" s="4">
        <v>46082</v>
      </c>
      <c r="J18" s="4"/>
      <c r="K18" s="1" t="s">
        <v>63</v>
      </c>
      <c r="L18" s="1"/>
      <c r="M18" s="1"/>
      <c r="N18" s="1"/>
      <c r="O18" s="1"/>
      <c r="P18" s="1"/>
      <c r="Q18" s="1"/>
      <c r="R18" s="1"/>
      <c r="S18" s="1"/>
    </row>
    <row r="19" spans="1:19" ht="23" customHeight="1">
      <c r="A19" s="1" t="s">
        <v>75</v>
      </c>
      <c r="B19" s="4">
        <v>46049</v>
      </c>
      <c r="C19" s="1" t="s">
        <v>663</v>
      </c>
      <c r="D19" s="1" t="s">
        <v>54</v>
      </c>
      <c r="E19" s="5">
        <v>18000</v>
      </c>
      <c r="F19" s="1">
        <v>0</v>
      </c>
      <c r="G19" s="4">
        <v>46050</v>
      </c>
      <c r="H19" s="4">
        <v>46051</v>
      </c>
      <c r="I19" s="4">
        <v>46052</v>
      </c>
      <c r="J19" s="4"/>
      <c r="K19" s="1" t="s">
        <v>55</v>
      </c>
      <c r="L19" s="1"/>
      <c r="M19" s="1"/>
      <c r="N19" s="1"/>
      <c r="O19" s="1"/>
      <c r="P19" s="1"/>
      <c r="Q19" s="1"/>
      <c r="R19" s="1"/>
      <c r="S19" s="1"/>
    </row>
    <row r="20" spans="1:19" ht="23" customHeight="1">
      <c r="A20" s="1" t="s">
        <v>76</v>
      </c>
      <c r="B20" s="4">
        <v>46090</v>
      </c>
      <c r="C20" s="1" t="s">
        <v>663</v>
      </c>
      <c r="D20" s="1" t="s">
        <v>54</v>
      </c>
      <c r="E20" s="5">
        <v>16000</v>
      </c>
      <c r="F20" s="1">
        <v>0</v>
      </c>
      <c r="G20" s="4">
        <v>46092</v>
      </c>
      <c r="H20" s="4">
        <v>46097</v>
      </c>
      <c r="I20" s="4">
        <v>46100</v>
      </c>
      <c r="J20" s="4"/>
      <c r="K20" s="1" t="s">
        <v>55</v>
      </c>
      <c r="L20" s="1"/>
      <c r="M20" s="1"/>
      <c r="N20" s="1"/>
      <c r="O20" s="1"/>
      <c r="P20" s="1"/>
      <c r="Q20" s="1"/>
      <c r="R20" s="1"/>
      <c r="S20" s="1"/>
    </row>
    <row r="21" spans="1:19" ht="23" customHeight="1">
      <c r="A21" s="1" t="s">
        <v>77</v>
      </c>
      <c r="B21" s="4">
        <v>46078</v>
      </c>
      <c r="C21" s="1" t="s">
        <v>663</v>
      </c>
      <c r="D21" s="1" t="s">
        <v>54</v>
      </c>
      <c r="E21" s="5">
        <v>17000</v>
      </c>
      <c r="F21" s="1">
        <v>0</v>
      </c>
      <c r="G21" s="4">
        <v>46078</v>
      </c>
      <c r="H21" s="4">
        <v>46082</v>
      </c>
      <c r="I21" s="4">
        <v>46083</v>
      </c>
      <c r="J21" s="4"/>
      <c r="K21" s="1" t="s">
        <v>55</v>
      </c>
      <c r="L21" s="1"/>
      <c r="M21" s="1"/>
      <c r="N21" s="1"/>
      <c r="O21" s="1"/>
      <c r="P21" s="1"/>
      <c r="Q21" s="1"/>
      <c r="R21" s="1"/>
      <c r="S21" s="1"/>
    </row>
    <row r="22" spans="1:19" ht="23" customHeight="1">
      <c r="A22" s="1" t="s">
        <v>78</v>
      </c>
      <c r="B22" s="4">
        <v>46036</v>
      </c>
      <c r="C22" s="1" t="s">
        <v>664</v>
      </c>
      <c r="D22" s="1" t="s">
        <v>62</v>
      </c>
      <c r="E22" s="5">
        <v>33000</v>
      </c>
      <c r="F22" s="1">
        <v>0</v>
      </c>
      <c r="G22" s="4">
        <v>46038</v>
      </c>
      <c r="H22" s="4">
        <v>46046</v>
      </c>
      <c r="I22" s="4">
        <v>46049</v>
      </c>
      <c r="J22" s="4"/>
      <c r="K22" s="1" t="s">
        <v>55</v>
      </c>
      <c r="L22" s="1"/>
      <c r="M22" s="1"/>
      <c r="N22" s="1"/>
      <c r="O22" s="1"/>
      <c r="P22" s="1"/>
      <c r="Q22" s="1"/>
      <c r="R22" s="1"/>
      <c r="S22" s="1"/>
    </row>
    <row r="23" spans="1:19" ht="23" customHeight="1">
      <c r="A23" s="1" t="s">
        <v>79</v>
      </c>
      <c r="B23" s="4">
        <v>46031</v>
      </c>
      <c r="C23" s="1" t="s">
        <v>19</v>
      </c>
      <c r="D23" s="1" t="s">
        <v>54</v>
      </c>
      <c r="E23" s="5">
        <v>32000</v>
      </c>
      <c r="F23" s="1">
        <v>1</v>
      </c>
      <c r="G23" s="4">
        <v>46039</v>
      </c>
      <c r="H23" s="4">
        <v>46045</v>
      </c>
      <c r="I23" s="4">
        <v>46047</v>
      </c>
      <c r="J23" s="4"/>
      <c r="K23" s="1" t="s">
        <v>55</v>
      </c>
      <c r="L23" s="1"/>
      <c r="M23" s="1"/>
      <c r="N23" s="1"/>
      <c r="O23" s="1"/>
      <c r="P23" s="1"/>
      <c r="Q23" s="1"/>
      <c r="R23" s="1"/>
      <c r="S23" s="1"/>
    </row>
    <row r="24" spans="1:19" ht="23" customHeight="1">
      <c r="A24" s="1" t="s">
        <v>80</v>
      </c>
      <c r="B24" s="4">
        <v>46093</v>
      </c>
      <c r="C24" s="1" t="s">
        <v>18</v>
      </c>
      <c r="D24" s="1" t="s">
        <v>59</v>
      </c>
      <c r="E24" s="5">
        <v>5000</v>
      </c>
      <c r="F24" s="1">
        <v>0</v>
      </c>
      <c r="G24" s="4">
        <v>46095</v>
      </c>
      <c r="H24" s="4">
        <v>46097</v>
      </c>
      <c r="I24" s="4">
        <v>46100</v>
      </c>
      <c r="J24" s="4"/>
      <c r="K24" s="1" t="s">
        <v>55</v>
      </c>
      <c r="L24" s="1"/>
      <c r="M24" s="1"/>
      <c r="N24" s="1"/>
      <c r="O24" s="1"/>
      <c r="P24" s="1"/>
      <c r="Q24" s="1"/>
      <c r="R24" s="1"/>
      <c r="S24" s="1"/>
    </row>
    <row r="25" spans="1:19" ht="23" customHeight="1">
      <c r="A25" s="1" t="s">
        <v>81</v>
      </c>
      <c r="B25" s="4">
        <v>46106</v>
      </c>
      <c r="C25" s="1" t="s">
        <v>18</v>
      </c>
      <c r="D25" s="1" t="s">
        <v>71</v>
      </c>
      <c r="E25" s="5">
        <v>28000</v>
      </c>
      <c r="F25" s="1">
        <v>0</v>
      </c>
      <c r="G25" s="4">
        <v>46107</v>
      </c>
      <c r="H25" s="4">
        <v>46110</v>
      </c>
      <c r="I25" s="4"/>
      <c r="J25" s="4"/>
      <c r="K25" s="1" t="s">
        <v>69</v>
      </c>
      <c r="L25" s="1"/>
      <c r="M25" s="1"/>
      <c r="N25" s="1"/>
      <c r="O25" s="1"/>
      <c r="P25" s="1"/>
      <c r="Q25" s="1"/>
      <c r="R25" s="1"/>
      <c r="S25" s="1"/>
    </row>
    <row r="26" spans="1:19" ht="23" customHeight="1">
      <c r="A26" s="1" t="s">
        <v>82</v>
      </c>
      <c r="B26" s="4">
        <v>46079</v>
      </c>
      <c r="C26" s="1" t="s">
        <v>19</v>
      </c>
      <c r="D26" s="1" t="s">
        <v>54</v>
      </c>
      <c r="E26" s="5">
        <v>44000</v>
      </c>
      <c r="F26" s="1">
        <v>0</v>
      </c>
      <c r="G26" s="4">
        <v>46081</v>
      </c>
      <c r="H26" s="4">
        <v>46083</v>
      </c>
      <c r="I26" s="4">
        <v>46085</v>
      </c>
      <c r="J26" s="4"/>
      <c r="K26" s="1" t="s">
        <v>63</v>
      </c>
      <c r="L26" s="1"/>
      <c r="M26" s="1"/>
      <c r="N26" s="1"/>
      <c r="O26" s="1"/>
      <c r="P26" s="1"/>
      <c r="Q26" s="1"/>
      <c r="R26" s="1"/>
      <c r="S26" s="1"/>
    </row>
    <row r="27" spans="1:19" ht="23" customHeight="1">
      <c r="A27" s="1" t="s">
        <v>83</v>
      </c>
      <c r="B27" s="4">
        <v>46101</v>
      </c>
      <c r="C27" s="1" t="s">
        <v>18</v>
      </c>
      <c r="D27" s="1" t="s">
        <v>59</v>
      </c>
      <c r="E27" s="5">
        <v>6000</v>
      </c>
      <c r="F27" s="1">
        <v>0</v>
      </c>
      <c r="G27" s="4">
        <v>46101</v>
      </c>
      <c r="H27" s="4">
        <v>46105</v>
      </c>
      <c r="I27" s="4">
        <v>46108</v>
      </c>
      <c r="J27" s="4"/>
      <c r="K27" s="1" t="s">
        <v>55</v>
      </c>
      <c r="L27" s="1"/>
      <c r="M27" s="1"/>
      <c r="N27" s="1"/>
      <c r="O27" s="1"/>
      <c r="P27" s="1"/>
      <c r="Q27" s="1"/>
      <c r="R27" s="1"/>
      <c r="S27" s="1"/>
    </row>
    <row r="28" spans="1:19" ht="23" customHeight="1">
      <c r="A28" s="1" t="s">
        <v>84</v>
      </c>
      <c r="B28" s="4">
        <v>46072</v>
      </c>
      <c r="C28" s="1" t="s">
        <v>19</v>
      </c>
      <c r="D28" s="1" t="s">
        <v>54</v>
      </c>
      <c r="E28" s="5">
        <v>11000</v>
      </c>
      <c r="F28" s="1">
        <v>0</v>
      </c>
      <c r="G28" s="4">
        <v>46073</v>
      </c>
      <c r="H28" s="4">
        <v>46077</v>
      </c>
      <c r="I28" s="4">
        <v>46079</v>
      </c>
      <c r="J28" s="4"/>
      <c r="K28" s="1" t="s">
        <v>55</v>
      </c>
      <c r="L28" s="1"/>
      <c r="M28" s="1"/>
      <c r="N28" s="1"/>
      <c r="O28" s="1"/>
      <c r="P28" s="1"/>
      <c r="Q28" s="1"/>
      <c r="R28" s="1"/>
      <c r="S28" s="1"/>
    </row>
    <row r="29" spans="1:19" ht="23" customHeight="1">
      <c r="A29" s="1" t="s">
        <v>85</v>
      </c>
      <c r="B29" s="4">
        <v>46069</v>
      </c>
      <c r="C29" s="1" t="s">
        <v>18</v>
      </c>
      <c r="D29" s="1" t="s">
        <v>59</v>
      </c>
      <c r="E29" s="5">
        <v>29000</v>
      </c>
      <c r="F29" s="1">
        <v>1</v>
      </c>
      <c r="G29" s="4"/>
      <c r="H29" s="4"/>
      <c r="I29" s="4"/>
      <c r="J29" s="4">
        <v>46071</v>
      </c>
      <c r="K29" s="1" t="s">
        <v>86</v>
      </c>
      <c r="L29" s="1"/>
      <c r="M29" s="1"/>
      <c r="N29" s="1"/>
      <c r="O29" s="1"/>
      <c r="P29" s="1"/>
      <c r="Q29" s="1"/>
      <c r="R29" s="1"/>
      <c r="S29" s="1"/>
    </row>
    <row r="30" spans="1:19" ht="23" customHeight="1">
      <c r="A30" s="1" t="s">
        <v>87</v>
      </c>
      <c r="B30" s="4">
        <v>46036</v>
      </c>
      <c r="C30" s="1" t="s">
        <v>19</v>
      </c>
      <c r="D30" s="1" t="s">
        <v>54</v>
      </c>
      <c r="E30" s="5">
        <v>46000</v>
      </c>
      <c r="F30" s="1">
        <v>0</v>
      </c>
      <c r="G30" s="4">
        <v>46038</v>
      </c>
      <c r="H30" s="4">
        <v>46039</v>
      </c>
      <c r="I30" s="4">
        <v>46040</v>
      </c>
      <c r="J30" s="4"/>
      <c r="K30" s="1" t="s">
        <v>55</v>
      </c>
      <c r="L30" s="1"/>
      <c r="M30" s="1"/>
      <c r="N30" s="1"/>
      <c r="O30" s="1"/>
      <c r="P30" s="1"/>
      <c r="Q30" s="1"/>
      <c r="R30" s="1"/>
      <c r="S30" s="1"/>
    </row>
    <row r="31" spans="1:19" ht="23" customHeight="1">
      <c r="A31" s="1" t="s">
        <v>88</v>
      </c>
      <c r="B31" s="4">
        <v>46045</v>
      </c>
      <c r="C31" s="1" t="s">
        <v>19</v>
      </c>
      <c r="D31" s="1" t="s">
        <v>54</v>
      </c>
      <c r="E31" s="5">
        <v>12000</v>
      </c>
      <c r="F31" s="1">
        <v>0</v>
      </c>
      <c r="G31" s="4">
        <v>46047</v>
      </c>
      <c r="H31" s="4">
        <v>46053</v>
      </c>
      <c r="I31" s="4">
        <v>46056</v>
      </c>
      <c r="J31" s="4"/>
      <c r="K31" s="1" t="s">
        <v>63</v>
      </c>
      <c r="L31" s="1"/>
      <c r="M31" s="1"/>
      <c r="N31" s="1"/>
      <c r="O31" s="1"/>
      <c r="P31" s="1"/>
      <c r="Q31" s="1"/>
      <c r="R31" s="1"/>
      <c r="S31" s="1"/>
    </row>
    <row r="32" spans="1:19" ht="23" customHeight="1">
      <c r="A32" s="1" t="s">
        <v>89</v>
      </c>
      <c r="B32" s="4">
        <v>46052</v>
      </c>
      <c r="C32" s="1" t="s">
        <v>19</v>
      </c>
      <c r="D32" s="1" t="s">
        <v>54</v>
      </c>
      <c r="E32" s="5">
        <v>27000</v>
      </c>
      <c r="F32" s="1">
        <v>0</v>
      </c>
      <c r="G32" s="4">
        <v>46053</v>
      </c>
      <c r="H32" s="4">
        <v>46055</v>
      </c>
      <c r="I32" s="4">
        <v>46057</v>
      </c>
      <c r="J32" s="4"/>
      <c r="K32" s="1" t="s">
        <v>63</v>
      </c>
      <c r="L32" s="1"/>
      <c r="M32" s="1"/>
      <c r="N32" s="1"/>
      <c r="O32" s="1"/>
      <c r="P32" s="1"/>
      <c r="Q32" s="1"/>
      <c r="R32" s="1"/>
      <c r="S32" s="1"/>
    </row>
    <row r="33" spans="1:19" ht="23" customHeight="1">
      <c r="A33" s="1" t="s">
        <v>90</v>
      </c>
      <c r="B33" s="4">
        <v>46073</v>
      </c>
      <c r="C33" s="1" t="s">
        <v>18</v>
      </c>
      <c r="D33" s="1" t="s">
        <v>65</v>
      </c>
      <c r="E33" s="5">
        <v>11000</v>
      </c>
      <c r="F33" s="1">
        <v>1</v>
      </c>
      <c r="G33" s="4">
        <v>46077</v>
      </c>
      <c r="H33" s="4">
        <v>46082</v>
      </c>
      <c r="I33" s="4">
        <v>46085</v>
      </c>
      <c r="J33" s="4"/>
      <c r="K33" s="1" t="s">
        <v>55</v>
      </c>
      <c r="L33" s="1"/>
      <c r="M33" s="1"/>
      <c r="N33" s="1"/>
      <c r="O33" s="1"/>
      <c r="P33" s="1"/>
      <c r="Q33" s="1"/>
      <c r="R33" s="1"/>
      <c r="S33" s="1"/>
    </row>
    <row r="34" spans="1:19" ht="23" customHeight="1">
      <c r="A34" s="1" t="s">
        <v>91</v>
      </c>
      <c r="B34" s="4">
        <v>46073</v>
      </c>
      <c r="C34" s="1" t="s">
        <v>18</v>
      </c>
      <c r="D34" s="1" t="s">
        <v>59</v>
      </c>
      <c r="E34" s="5">
        <v>31000</v>
      </c>
      <c r="F34" s="1">
        <v>1</v>
      </c>
      <c r="G34" s="4">
        <v>46076</v>
      </c>
      <c r="H34" s="4">
        <v>46080</v>
      </c>
      <c r="I34" s="4">
        <v>46081</v>
      </c>
      <c r="J34" s="4"/>
      <c r="K34" s="1" t="s">
        <v>55</v>
      </c>
      <c r="L34" s="1"/>
      <c r="M34" s="1"/>
      <c r="N34" s="1"/>
      <c r="O34" s="1"/>
      <c r="P34" s="1"/>
      <c r="Q34" s="1"/>
      <c r="R34" s="1"/>
      <c r="S34" s="1"/>
    </row>
    <row r="35" spans="1:19" ht="23" customHeight="1">
      <c r="A35" s="1" t="s">
        <v>92</v>
      </c>
      <c r="B35" s="4">
        <v>46107</v>
      </c>
      <c r="C35" s="1" t="s">
        <v>19</v>
      </c>
      <c r="D35" s="1" t="s">
        <v>54</v>
      </c>
      <c r="E35" s="5">
        <v>24000</v>
      </c>
      <c r="F35" s="1">
        <v>0</v>
      </c>
      <c r="G35" s="4">
        <v>46108</v>
      </c>
      <c r="H35" s="4">
        <v>46112</v>
      </c>
      <c r="I35" s="4"/>
      <c r="J35" s="4"/>
      <c r="K35" s="1" t="s">
        <v>69</v>
      </c>
      <c r="L35" s="1"/>
      <c r="M35" s="1"/>
      <c r="N35" s="1"/>
      <c r="O35" s="1"/>
      <c r="P35" s="1"/>
      <c r="Q35" s="1"/>
      <c r="R35" s="1"/>
      <c r="S35" s="1"/>
    </row>
    <row r="36" spans="1:19" ht="23" customHeight="1">
      <c r="A36" s="1" t="s">
        <v>93</v>
      </c>
      <c r="B36" s="4">
        <v>46040</v>
      </c>
      <c r="C36" s="1" t="s">
        <v>19</v>
      </c>
      <c r="D36" s="1" t="s">
        <v>54</v>
      </c>
      <c r="E36" s="5">
        <v>21000</v>
      </c>
      <c r="F36" s="1">
        <v>0</v>
      </c>
      <c r="G36" s="4">
        <v>46040</v>
      </c>
      <c r="H36" s="4">
        <v>46046</v>
      </c>
      <c r="I36" s="4">
        <v>46049</v>
      </c>
      <c r="J36" s="4"/>
      <c r="K36" s="1" t="s">
        <v>55</v>
      </c>
      <c r="L36" s="1"/>
      <c r="M36" s="1"/>
      <c r="N36" s="1"/>
      <c r="O36" s="1"/>
      <c r="P36" s="1"/>
      <c r="Q36" s="1"/>
      <c r="R36" s="1"/>
      <c r="S36" s="1"/>
    </row>
    <row r="37" spans="1:19" ht="23" customHeight="1">
      <c r="A37" s="1" t="s">
        <v>94</v>
      </c>
      <c r="B37" s="4">
        <v>46057</v>
      </c>
      <c r="C37" s="1" t="s">
        <v>19</v>
      </c>
      <c r="D37" s="1" t="s">
        <v>54</v>
      </c>
      <c r="E37" s="5">
        <v>14000</v>
      </c>
      <c r="F37" s="1">
        <v>0</v>
      </c>
      <c r="G37" s="4">
        <v>46059</v>
      </c>
      <c r="H37" s="4">
        <v>46062</v>
      </c>
      <c r="I37" s="4">
        <v>46065</v>
      </c>
      <c r="J37" s="4"/>
      <c r="K37" s="1" t="s">
        <v>63</v>
      </c>
      <c r="L37" s="1"/>
      <c r="M37" s="1"/>
      <c r="N37" s="1"/>
      <c r="O37" s="1"/>
      <c r="P37" s="1"/>
      <c r="Q37" s="1"/>
      <c r="R37" s="1"/>
      <c r="S37" s="1"/>
    </row>
    <row r="38" spans="1:19" ht="23" customHeight="1">
      <c r="A38" s="1" t="s">
        <v>95</v>
      </c>
      <c r="B38" s="4">
        <v>46090</v>
      </c>
      <c r="C38" s="1" t="s">
        <v>19</v>
      </c>
      <c r="D38" s="1" t="s">
        <v>54</v>
      </c>
      <c r="E38" s="5">
        <v>16000</v>
      </c>
      <c r="F38" s="1">
        <v>0</v>
      </c>
      <c r="G38" s="4">
        <v>46090</v>
      </c>
      <c r="H38" s="4">
        <v>46094</v>
      </c>
      <c r="I38" s="4">
        <v>46097</v>
      </c>
      <c r="J38" s="4"/>
      <c r="K38" s="1" t="s">
        <v>55</v>
      </c>
      <c r="L38" s="1"/>
      <c r="M38" s="1"/>
      <c r="N38" s="1"/>
      <c r="O38" s="1"/>
      <c r="P38" s="1"/>
      <c r="Q38" s="1"/>
      <c r="R38" s="1"/>
      <c r="S38" s="1"/>
    </row>
    <row r="39" spans="1:19" ht="23" customHeight="1">
      <c r="A39" s="1" t="s">
        <v>96</v>
      </c>
      <c r="B39" s="4">
        <v>46112</v>
      </c>
      <c r="C39" s="1" t="s">
        <v>19</v>
      </c>
      <c r="D39" s="1" t="s">
        <v>54</v>
      </c>
      <c r="E39" s="5">
        <v>23000</v>
      </c>
      <c r="F39" s="1">
        <v>0</v>
      </c>
      <c r="G39" s="4">
        <v>46112</v>
      </c>
      <c r="H39" s="4"/>
      <c r="I39" s="4"/>
      <c r="J39" s="4"/>
      <c r="K39" s="1" t="s">
        <v>69</v>
      </c>
      <c r="L39" s="1"/>
      <c r="M39" s="1"/>
      <c r="N39" s="1"/>
      <c r="O39" s="1"/>
      <c r="P39" s="1"/>
      <c r="Q39" s="1"/>
      <c r="R39" s="1"/>
      <c r="S39" s="1"/>
    </row>
    <row r="40" spans="1:19" ht="23" customHeight="1">
      <c r="A40" s="1" t="s">
        <v>97</v>
      </c>
      <c r="B40" s="4">
        <v>46093</v>
      </c>
      <c r="C40" s="1" t="s">
        <v>19</v>
      </c>
      <c r="D40" s="1" t="s">
        <v>54</v>
      </c>
      <c r="E40" s="5">
        <v>28000</v>
      </c>
      <c r="F40" s="1">
        <v>0</v>
      </c>
      <c r="G40" s="4">
        <v>46094</v>
      </c>
      <c r="H40" s="4">
        <v>46097</v>
      </c>
      <c r="I40" s="4">
        <v>46098</v>
      </c>
      <c r="J40" s="4"/>
      <c r="K40" s="1" t="s">
        <v>63</v>
      </c>
      <c r="L40" s="1"/>
      <c r="M40" s="1"/>
      <c r="N40" s="1"/>
      <c r="O40" s="1"/>
      <c r="P40" s="1"/>
      <c r="Q40" s="1"/>
      <c r="R40" s="1"/>
      <c r="S40" s="1"/>
    </row>
    <row r="41" spans="1:19" ht="23" customHeight="1">
      <c r="A41" s="1" t="s">
        <v>98</v>
      </c>
      <c r="B41" s="4">
        <v>46043</v>
      </c>
      <c r="C41" s="1" t="s">
        <v>19</v>
      </c>
      <c r="D41" s="1" t="s">
        <v>54</v>
      </c>
      <c r="E41" s="5">
        <v>14000</v>
      </c>
      <c r="F41" s="1">
        <v>1</v>
      </c>
      <c r="G41" s="4">
        <v>46051</v>
      </c>
      <c r="H41" s="4">
        <v>46054</v>
      </c>
      <c r="I41" s="4">
        <v>46055</v>
      </c>
      <c r="J41" s="4"/>
      <c r="K41" s="1" t="s">
        <v>55</v>
      </c>
      <c r="L41" s="1"/>
      <c r="M41" s="1"/>
      <c r="N41" s="1"/>
      <c r="O41" s="1"/>
      <c r="P41" s="1"/>
      <c r="Q41" s="1"/>
      <c r="R41" s="1"/>
      <c r="S41" s="1"/>
    </row>
    <row r="42" spans="1:19" ht="23" customHeight="1">
      <c r="A42" s="1" t="s">
        <v>99</v>
      </c>
      <c r="B42" s="4">
        <v>46030</v>
      </c>
      <c r="C42" s="1" t="s">
        <v>18</v>
      </c>
      <c r="D42" s="1" t="s">
        <v>71</v>
      </c>
      <c r="E42" s="5">
        <v>35000</v>
      </c>
      <c r="F42" s="1">
        <v>1</v>
      </c>
      <c r="G42" s="4"/>
      <c r="H42" s="4"/>
      <c r="I42" s="4"/>
      <c r="J42" s="4">
        <v>46032</v>
      </c>
      <c r="K42" s="1" t="s">
        <v>86</v>
      </c>
      <c r="L42" s="1"/>
      <c r="M42" s="1"/>
      <c r="N42" s="1"/>
      <c r="O42" s="1"/>
      <c r="P42" s="1"/>
      <c r="Q42" s="1"/>
      <c r="R42" s="1"/>
      <c r="S42" s="1"/>
    </row>
    <row r="43" spans="1:19" ht="23" customHeight="1">
      <c r="A43" s="1" t="s">
        <v>100</v>
      </c>
      <c r="B43" s="4">
        <v>46038</v>
      </c>
      <c r="C43" s="1" t="s">
        <v>18</v>
      </c>
      <c r="D43" s="1" t="s">
        <v>62</v>
      </c>
      <c r="E43" s="5">
        <v>27000</v>
      </c>
      <c r="F43" s="1">
        <v>0</v>
      </c>
      <c r="G43" s="4">
        <v>46040</v>
      </c>
      <c r="H43" s="4">
        <v>46045</v>
      </c>
      <c r="I43" s="4">
        <v>46047</v>
      </c>
      <c r="J43" s="4"/>
      <c r="K43" s="1" t="s">
        <v>55</v>
      </c>
      <c r="L43" s="1"/>
      <c r="M43" s="1"/>
      <c r="N43" s="1"/>
      <c r="O43" s="1"/>
      <c r="P43" s="1"/>
      <c r="Q43" s="1"/>
      <c r="R43" s="1"/>
      <c r="S43" s="1"/>
    </row>
    <row r="44" spans="1:19" ht="23" customHeight="1">
      <c r="A44" s="1" t="s">
        <v>101</v>
      </c>
      <c r="B44" s="4">
        <v>46054</v>
      </c>
      <c r="C44" s="1" t="s">
        <v>18</v>
      </c>
      <c r="D44" s="1" t="s">
        <v>62</v>
      </c>
      <c r="E44" s="5">
        <v>31000</v>
      </c>
      <c r="F44" s="1">
        <v>0</v>
      </c>
      <c r="G44" s="4">
        <v>46054</v>
      </c>
      <c r="H44" s="4">
        <v>46060</v>
      </c>
      <c r="I44" s="4">
        <v>46062</v>
      </c>
      <c r="J44" s="4"/>
      <c r="K44" s="1" t="s">
        <v>63</v>
      </c>
      <c r="L44" s="1"/>
      <c r="M44" s="1"/>
      <c r="N44" s="1"/>
      <c r="O44" s="1"/>
      <c r="P44" s="1"/>
      <c r="Q44" s="1"/>
      <c r="R44" s="1"/>
      <c r="S44" s="1"/>
    </row>
    <row r="45" spans="1:19" ht="23" customHeight="1">
      <c r="A45" s="1" t="s">
        <v>102</v>
      </c>
      <c r="B45" s="4">
        <v>46039</v>
      </c>
      <c r="C45" s="1" t="s">
        <v>19</v>
      </c>
      <c r="D45" s="1" t="s">
        <v>54</v>
      </c>
      <c r="E45" s="5">
        <v>33000</v>
      </c>
      <c r="F45" s="1">
        <v>0</v>
      </c>
      <c r="G45" s="4">
        <v>46040</v>
      </c>
      <c r="H45" s="4">
        <v>46044</v>
      </c>
      <c r="I45" s="4">
        <v>46047</v>
      </c>
      <c r="J45" s="4"/>
      <c r="K45" s="1" t="s">
        <v>63</v>
      </c>
      <c r="L45" s="1"/>
      <c r="M45" s="1"/>
      <c r="N45" s="1"/>
      <c r="O45" s="1"/>
      <c r="P45" s="1"/>
      <c r="Q45" s="1"/>
      <c r="R45" s="1"/>
      <c r="S45" s="1"/>
    </row>
    <row r="46" spans="1:19" ht="23" customHeight="1">
      <c r="A46" s="1" t="s">
        <v>103</v>
      </c>
      <c r="B46" s="4">
        <v>46061</v>
      </c>
      <c r="C46" s="1" t="s">
        <v>18</v>
      </c>
      <c r="D46" s="1" t="s">
        <v>59</v>
      </c>
      <c r="E46" s="5">
        <v>45000</v>
      </c>
      <c r="F46" s="1">
        <v>1</v>
      </c>
      <c r="G46" s="4">
        <v>46068</v>
      </c>
      <c r="H46" s="4">
        <v>46070</v>
      </c>
      <c r="I46" s="4">
        <v>46073</v>
      </c>
      <c r="J46" s="4"/>
      <c r="K46" s="1" t="s">
        <v>55</v>
      </c>
      <c r="L46" s="1"/>
      <c r="M46" s="1"/>
      <c r="N46" s="1"/>
      <c r="O46" s="1"/>
      <c r="P46" s="1"/>
      <c r="Q46" s="1"/>
      <c r="R46" s="1"/>
      <c r="S46" s="1"/>
    </row>
    <row r="47" spans="1:19" ht="23" customHeight="1">
      <c r="A47" s="1" t="s">
        <v>104</v>
      </c>
      <c r="B47" s="4">
        <v>46055</v>
      </c>
      <c r="C47" s="1" t="s">
        <v>19</v>
      </c>
      <c r="D47" s="1" t="s">
        <v>54</v>
      </c>
      <c r="E47" s="5">
        <v>31000</v>
      </c>
      <c r="F47" s="1">
        <v>0</v>
      </c>
      <c r="G47" s="4">
        <v>46057</v>
      </c>
      <c r="H47" s="4">
        <v>46063</v>
      </c>
      <c r="I47" s="4">
        <v>46064</v>
      </c>
      <c r="J47" s="4"/>
      <c r="K47" s="1" t="s">
        <v>55</v>
      </c>
      <c r="L47" s="1"/>
      <c r="M47" s="1"/>
      <c r="N47" s="1"/>
      <c r="O47" s="1"/>
      <c r="P47" s="1"/>
      <c r="Q47" s="1"/>
      <c r="R47" s="1"/>
      <c r="S47" s="1"/>
    </row>
    <row r="48" spans="1:19" ht="23" customHeight="1">
      <c r="A48" s="1" t="s">
        <v>105</v>
      </c>
      <c r="B48" s="4">
        <v>46108</v>
      </c>
      <c r="C48" s="1" t="s">
        <v>18</v>
      </c>
      <c r="D48" s="1" t="s">
        <v>62</v>
      </c>
      <c r="E48" s="5">
        <v>29000</v>
      </c>
      <c r="F48" s="1">
        <v>0</v>
      </c>
      <c r="G48" s="4">
        <v>46108</v>
      </c>
      <c r="H48" s="4">
        <v>46111</v>
      </c>
      <c r="I48" s="4">
        <v>46112</v>
      </c>
      <c r="J48" s="4"/>
      <c r="K48" s="1" t="s">
        <v>55</v>
      </c>
      <c r="L48" s="1"/>
      <c r="M48" s="1"/>
      <c r="N48" s="1"/>
      <c r="O48" s="1"/>
      <c r="P48" s="1"/>
      <c r="Q48" s="1"/>
      <c r="R48" s="1"/>
      <c r="S48" s="1"/>
    </row>
    <row r="49" spans="1:19" ht="23" customHeight="1">
      <c r="A49" s="1" t="s">
        <v>106</v>
      </c>
      <c r="B49" s="4">
        <v>46056</v>
      </c>
      <c r="C49" s="1" t="s">
        <v>18</v>
      </c>
      <c r="D49" s="1" t="s">
        <v>59</v>
      </c>
      <c r="E49" s="5">
        <v>19000</v>
      </c>
      <c r="F49" s="1">
        <v>0</v>
      </c>
      <c r="G49" s="4">
        <v>46057</v>
      </c>
      <c r="H49" s="4">
        <v>46062</v>
      </c>
      <c r="I49" s="4">
        <v>46064</v>
      </c>
      <c r="J49" s="4"/>
      <c r="K49" s="1" t="s">
        <v>55</v>
      </c>
      <c r="L49" s="1"/>
      <c r="M49" s="1"/>
      <c r="N49" s="1"/>
      <c r="O49" s="1"/>
      <c r="P49" s="1"/>
      <c r="Q49" s="1"/>
      <c r="R49" s="1"/>
      <c r="S49" s="1"/>
    </row>
    <row r="50" spans="1:19" ht="23" customHeight="1">
      <c r="A50" s="1" t="s">
        <v>107</v>
      </c>
      <c r="B50" s="4">
        <v>46070</v>
      </c>
      <c r="C50" s="1" t="s">
        <v>19</v>
      </c>
      <c r="D50" s="1" t="s">
        <v>54</v>
      </c>
      <c r="E50" s="5">
        <v>26000</v>
      </c>
      <c r="F50" s="1">
        <v>0</v>
      </c>
      <c r="G50" s="4">
        <v>46072</v>
      </c>
      <c r="H50" s="4">
        <v>46076</v>
      </c>
      <c r="I50" s="4">
        <v>46077</v>
      </c>
      <c r="J50" s="4"/>
      <c r="K50" s="1" t="s">
        <v>63</v>
      </c>
      <c r="L50" s="1"/>
      <c r="M50" s="1"/>
      <c r="N50" s="1"/>
      <c r="O50" s="1"/>
      <c r="P50" s="1"/>
      <c r="Q50" s="1"/>
      <c r="R50" s="1"/>
      <c r="S50" s="1"/>
    </row>
    <row r="51" spans="1:19" ht="23" customHeight="1">
      <c r="A51" s="1" t="s">
        <v>108</v>
      </c>
      <c r="B51" s="4">
        <v>46053</v>
      </c>
      <c r="C51" s="1" t="s">
        <v>18</v>
      </c>
      <c r="D51" s="1" t="s">
        <v>65</v>
      </c>
      <c r="E51" s="5">
        <v>34000</v>
      </c>
      <c r="F51" s="1">
        <v>0</v>
      </c>
      <c r="G51" s="4">
        <v>46054</v>
      </c>
      <c r="H51" s="4">
        <v>46055</v>
      </c>
      <c r="I51" s="4">
        <v>46058</v>
      </c>
      <c r="J51" s="4"/>
      <c r="K51" s="1" t="s">
        <v>55</v>
      </c>
      <c r="L51" s="1"/>
      <c r="M51" s="1"/>
      <c r="N51" s="1"/>
      <c r="O51" s="1"/>
      <c r="P51" s="1"/>
      <c r="Q51" s="1"/>
      <c r="R51" s="1"/>
      <c r="S51" s="1"/>
    </row>
    <row r="52" spans="1:19" ht="23" customHeight="1">
      <c r="A52" s="1" t="s">
        <v>109</v>
      </c>
      <c r="B52" s="4">
        <v>46111</v>
      </c>
      <c r="C52" s="1" t="s">
        <v>19</v>
      </c>
      <c r="D52" s="1" t="s">
        <v>54</v>
      </c>
      <c r="E52" s="5">
        <v>17000</v>
      </c>
      <c r="F52" s="1">
        <v>0</v>
      </c>
      <c r="G52" s="4">
        <v>46112</v>
      </c>
      <c r="H52" s="4"/>
      <c r="I52" s="4"/>
      <c r="J52" s="4"/>
      <c r="K52" s="1" t="s">
        <v>69</v>
      </c>
      <c r="L52" s="1"/>
      <c r="M52" s="1"/>
      <c r="N52" s="1"/>
      <c r="O52" s="1"/>
      <c r="P52" s="1"/>
      <c r="Q52" s="1"/>
      <c r="R52" s="1"/>
      <c r="S52" s="1"/>
    </row>
    <row r="53" spans="1:19" ht="23" customHeight="1">
      <c r="A53" s="1" t="s">
        <v>110</v>
      </c>
      <c r="B53" s="4">
        <v>46068</v>
      </c>
      <c r="C53" s="1" t="s">
        <v>19</v>
      </c>
      <c r="D53" s="1" t="s">
        <v>54</v>
      </c>
      <c r="E53" s="5">
        <v>5000</v>
      </c>
      <c r="F53" s="1">
        <v>0</v>
      </c>
      <c r="G53" s="4">
        <v>46070</v>
      </c>
      <c r="H53" s="4">
        <v>46071</v>
      </c>
      <c r="I53" s="4">
        <v>46073</v>
      </c>
      <c r="J53" s="4"/>
      <c r="K53" s="1" t="s">
        <v>63</v>
      </c>
      <c r="L53" s="1"/>
      <c r="M53" s="1"/>
      <c r="N53" s="1"/>
      <c r="O53" s="1"/>
      <c r="P53" s="1"/>
      <c r="Q53" s="1"/>
      <c r="R53" s="1"/>
      <c r="S53" s="1"/>
    </row>
    <row r="54" spans="1:19" ht="23" customHeight="1">
      <c r="A54" s="1" t="s">
        <v>111</v>
      </c>
      <c r="B54" s="4">
        <v>46025</v>
      </c>
      <c r="C54" s="1" t="s">
        <v>19</v>
      </c>
      <c r="D54" s="1" t="s">
        <v>54</v>
      </c>
      <c r="E54" s="5">
        <v>40000</v>
      </c>
      <c r="F54" s="1">
        <v>0</v>
      </c>
      <c r="G54" s="4">
        <v>46025</v>
      </c>
      <c r="H54" s="4">
        <v>46027</v>
      </c>
      <c r="I54" s="4">
        <v>46028</v>
      </c>
      <c r="J54" s="4"/>
      <c r="K54" s="1" t="s">
        <v>55</v>
      </c>
      <c r="L54" s="1"/>
      <c r="M54" s="1"/>
      <c r="N54" s="1"/>
      <c r="O54" s="1"/>
      <c r="P54" s="1"/>
      <c r="Q54" s="1"/>
      <c r="R54" s="1"/>
      <c r="S54" s="1"/>
    </row>
    <row r="55" spans="1:19" ht="23" customHeight="1">
      <c r="A55" s="1" t="s">
        <v>112</v>
      </c>
      <c r="B55" s="4">
        <v>46044</v>
      </c>
      <c r="C55" s="1" t="s">
        <v>19</v>
      </c>
      <c r="D55" s="1" t="s">
        <v>54</v>
      </c>
      <c r="E55" s="5">
        <v>18000</v>
      </c>
      <c r="F55" s="1">
        <v>0</v>
      </c>
      <c r="G55" s="4">
        <v>46045</v>
      </c>
      <c r="H55" s="4">
        <v>46051</v>
      </c>
      <c r="I55" s="4">
        <v>46052</v>
      </c>
      <c r="J55" s="4"/>
      <c r="K55" s="1" t="s">
        <v>55</v>
      </c>
      <c r="L55" s="1"/>
      <c r="M55" s="1"/>
      <c r="N55" s="1"/>
      <c r="O55" s="1"/>
      <c r="P55" s="1"/>
      <c r="Q55" s="1"/>
      <c r="R55" s="1"/>
      <c r="S55" s="1"/>
    </row>
    <row r="56" spans="1:19" ht="23" customHeight="1">
      <c r="A56" s="1" t="s">
        <v>113</v>
      </c>
      <c r="B56" s="4">
        <v>46054</v>
      </c>
      <c r="C56" s="1" t="s">
        <v>19</v>
      </c>
      <c r="D56" s="1" t="s">
        <v>54</v>
      </c>
      <c r="E56" s="5">
        <v>22000</v>
      </c>
      <c r="F56" s="1">
        <v>0</v>
      </c>
      <c r="G56" s="4">
        <v>46055</v>
      </c>
      <c r="H56" s="4">
        <v>46058</v>
      </c>
      <c r="I56" s="4">
        <v>46059</v>
      </c>
      <c r="J56" s="4"/>
      <c r="K56" s="1" t="s">
        <v>63</v>
      </c>
      <c r="L56" s="1"/>
      <c r="M56" s="1"/>
      <c r="N56" s="1"/>
      <c r="O56" s="1"/>
      <c r="P56" s="1"/>
      <c r="Q56" s="1"/>
      <c r="R56" s="1"/>
      <c r="S56" s="1"/>
    </row>
    <row r="57" spans="1:19" ht="23" customHeight="1">
      <c r="A57" s="1" t="s">
        <v>114</v>
      </c>
      <c r="B57" s="4">
        <v>46102</v>
      </c>
      <c r="C57" s="1" t="s">
        <v>19</v>
      </c>
      <c r="D57" s="1" t="s">
        <v>54</v>
      </c>
      <c r="E57" s="5">
        <v>27000</v>
      </c>
      <c r="F57" s="1">
        <v>0</v>
      </c>
      <c r="G57" s="4">
        <v>46103</v>
      </c>
      <c r="H57" s="4">
        <v>46106</v>
      </c>
      <c r="I57" s="4">
        <v>46108</v>
      </c>
      <c r="J57" s="4"/>
      <c r="K57" s="1" t="s">
        <v>63</v>
      </c>
      <c r="L57" s="1"/>
      <c r="M57" s="1"/>
      <c r="N57" s="1"/>
      <c r="O57" s="1"/>
      <c r="P57" s="1"/>
      <c r="Q57" s="1"/>
      <c r="R57" s="1"/>
      <c r="S57" s="1"/>
    </row>
    <row r="58" spans="1:19" ht="23" customHeight="1">
      <c r="A58" s="1" t="s">
        <v>115</v>
      </c>
      <c r="B58" s="4">
        <v>46107</v>
      </c>
      <c r="C58" s="1" t="s">
        <v>19</v>
      </c>
      <c r="D58" s="1" t="s">
        <v>54</v>
      </c>
      <c r="E58" s="5">
        <v>43000</v>
      </c>
      <c r="F58" s="1">
        <v>1</v>
      </c>
      <c r="G58" s="4">
        <v>46110</v>
      </c>
      <c r="H58" s="4">
        <v>46111</v>
      </c>
      <c r="I58" s="4"/>
      <c r="J58" s="4"/>
      <c r="K58" s="1" t="s">
        <v>69</v>
      </c>
      <c r="L58" s="1"/>
      <c r="M58" s="1"/>
      <c r="N58" s="1"/>
      <c r="O58" s="1"/>
      <c r="P58" s="1"/>
      <c r="Q58" s="1"/>
      <c r="R58" s="1"/>
      <c r="S58" s="1"/>
    </row>
    <row r="59" spans="1:19" ht="23" customHeight="1">
      <c r="A59" s="1" t="s">
        <v>116</v>
      </c>
      <c r="B59" s="4">
        <v>46061</v>
      </c>
      <c r="C59" s="1" t="s">
        <v>19</v>
      </c>
      <c r="D59" s="1" t="s">
        <v>54</v>
      </c>
      <c r="E59" s="5">
        <v>19000</v>
      </c>
      <c r="F59" s="1">
        <v>1</v>
      </c>
      <c r="G59" s="4">
        <v>46066</v>
      </c>
      <c r="H59" s="4">
        <v>46068</v>
      </c>
      <c r="I59" s="4">
        <v>46071</v>
      </c>
      <c r="J59" s="4"/>
      <c r="K59" s="1" t="s">
        <v>55</v>
      </c>
      <c r="L59" s="1"/>
      <c r="M59" s="1"/>
      <c r="N59" s="1"/>
      <c r="O59" s="1"/>
      <c r="P59" s="1"/>
      <c r="Q59" s="1"/>
      <c r="R59" s="1"/>
      <c r="S59" s="1"/>
    </row>
    <row r="60" spans="1:19" ht="23" customHeight="1">
      <c r="A60" s="1" t="s">
        <v>117</v>
      </c>
      <c r="B60" s="4">
        <v>46078</v>
      </c>
      <c r="C60" s="1" t="s">
        <v>18</v>
      </c>
      <c r="D60" s="1" t="s">
        <v>59</v>
      </c>
      <c r="E60" s="5">
        <v>23000</v>
      </c>
      <c r="F60" s="1">
        <v>1</v>
      </c>
      <c r="G60" s="4">
        <v>46083</v>
      </c>
      <c r="H60" s="4">
        <v>46088</v>
      </c>
      <c r="I60" s="4">
        <v>46089</v>
      </c>
      <c r="J60" s="4"/>
      <c r="K60" s="1" t="s">
        <v>55</v>
      </c>
      <c r="L60" s="1"/>
      <c r="M60" s="1"/>
      <c r="N60" s="1"/>
      <c r="O60" s="1"/>
      <c r="P60" s="1"/>
      <c r="Q60" s="1"/>
      <c r="R60" s="1"/>
      <c r="S60" s="1"/>
    </row>
    <row r="61" spans="1:19" ht="23" customHeight="1">
      <c r="A61" s="1" t="s">
        <v>118</v>
      </c>
      <c r="B61" s="4">
        <v>46047</v>
      </c>
      <c r="C61" s="1" t="s">
        <v>19</v>
      </c>
      <c r="D61" s="1" t="s">
        <v>54</v>
      </c>
      <c r="E61" s="5">
        <v>49000</v>
      </c>
      <c r="F61" s="1">
        <v>0</v>
      </c>
      <c r="G61" s="4">
        <v>46047</v>
      </c>
      <c r="H61" s="4">
        <v>46053</v>
      </c>
      <c r="I61" s="4">
        <v>46056</v>
      </c>
      <c r="J61" s="4"/>
      <c r="K61" s="1" t="s">
        <v>55</v>
      </c>
      <c r="L61" s="1"/>
      <c r="M61" s="1"/>
      <c r="N61" s="1"/>
      <c r="O61" s="1"/>
      <c r="P61" s="1"/>
      <c r="Q61" s="1"/>
      <c r="R61" s="1"/>
      <c r="S61" s="1"/>
    </row>
    <row r="62" spans="1:19" ht="23" customHeight="1">
      <c r="A62" s="1" t="s">
        <v>119</v>
      </c>
      <c r="B62" s="4">
        <v>46061</v>
      </c>
      <c r="C62" s="1" t="s">
        <v>19</v>
      </c>
      <c r="D62" s="1" t="s">
        <v>54</v>
      </c>
      <c r="E62" s="5">
        <v>39000</v>
      </c>
      <c r="F62" s="1">
        <v>1</v>
      </c>
      <c r="G62" s="4">
        <v>46065</v>
      </c>
      <c r="H62" s="4">
        <v>46068</v>
      </c>
      <c r="I62" s="4">
        <v>46069</v>
      </c>
      <c r="J62" s="4"/>
      <c r="K62" s="1" t="s">
        <v>55</v>
      </c>
      <c r="L62" s="1"/>
      <c r="M62" s="1"/>
      <c r="N62" s="1"/>
      <c r="O62" s="1"/>
      <c r="P62" s="1"/>
      <c r="Q62" s="1"/>
      <c r="R62" s="1"/>
      <c r="S62" s="1"/>
    </row>
    <row r="63" spans="1:19" ht="23" customHeight="1">
      <c r="A63" s="1" t="s">
        <v>120</v>
      </c>
      <c r="B63" s="4">
        <v>46033</v>
      </c>
      <c r="C63" s="1" t="s">
        <v>18</v>
      </c>
      <c r="D63" s="1" t="s">
        <v>65</v>
      </c>
      <c r="E63" s="5">
        <v>41000</v>
      </c>
      <c r="F63" s="1">
        <v>1</v>
      </c>
      <c r="G63" s="4">
        <v>46038</v>
      </c>
      <c r="H63" s="4">
        <v>46044</v>
      </c>
      <c r="I63" s="4">
        <v>46046</v>
      </c>
      <c r="J63" s="4"/>
      <c r="K63" s="1" t="s">
        <v>63</v>
      </c>
      <c r="L63" s="1"/>
      <c r="M63" s="1"/>
      <c r="N63" s="1"/>
      <c r="O63" s="1"/>
      <c r="P63" s="1"/>
      <c r="Q63" s="1"/>
      <c r="R63" s="1"/>
      <c r="S63" s="1"/>
    </row>
    <row r="64" spans="1:19" ht="23" customHeight="1">
      <c r="A64" s="1" t="s">
        <v>121</v>
      </c>
      <c r="B64" s="4">
        <v>46097</v>
      </c>
      <c r="C64" s="1" t="s">
        <v>19</v>
      </c>
      <c r="D64" s="1" t="s">
        <v>54</v>
      </c>
      <c r="E64" s="5">
        <v>46000</v>
      </c>
      <c r="F64" s="1">
        <v>0</v>
      </c>
      <c r="G64" s="4">
        <v>46098</v>
      </c>
      <c r="H64" s="4">
        <v>46103</v>
      </c>
      <c r="I64" s="4">
        <v>46104</v>
      </c>
      <c r="J64" s="4"/>
      <c r="K64" s="1" t="s">
        <v>55</v>
      </c>
      <c r="L64" s="1"/>
      <c r="M64" s="1"/>
      <c r="N64" s="1"/>
      <c r="O64" s="1"/>
      <c r="P64" s="1"/>
      <c r="Q64" s="1"/>
      <c r="R64" s="1"/>
      <c r="S64" s="1"/>
    </row>
    <row r="65" spans="1:19" ht="23" customHeight="1">
      <c r="A65" s="1" t="s">
        <v>122</v>
      </c>
      <c r="B65" s="4">
        <v>46039</v>
      </c>
      <c r="C65" s="1" t="s">
        <v>18</v>
      </c>
      <c r="D65" s="1" t="s">
        <v>59</v>
      </c>
      <c r="E65" s="5">
        <v>23000</v>
      </c>
      <c r="F65" s="1">
        <v>0</v>
      </c>
      <c r="G65" s="4">
        <v>46039</v>
      </c>
      <c r="H65" s="4">
        <v>46044</v>
      </c>
      <c r="I65" s="4">
        <v>46045</v>
      </c>
      <c r="J65" s="4"/>
      <c r="K65" s="1" t="s">
        <v>55</v>
      </c>
      <c r="L65" s="1"/>
      <c r="M65" s="1"/>
      <c r="N65" s="1"/>
      <c r="O65" s="1"/>
      <c r="P65" s="1"/>
      <c r="Q65" s="1"/>
      <c r="R65" s="1"/>
      <c r="S65" s="1"/>
    </row>
    <row r="66" spans="1:19" ht="23" customHeight="1">
      <c r="A66" s="1" t="s">
        <v>123</v>
      </c>
      <c r="B66" s="4">
        <v>46030</v>
      </c>
      <c r="C66" s="1" t="s">
        <v>18</v>
      </c>
      <c r="D66" s="1" t="s">
        <v>59</v>
      </c>
      <c r="E66" s="5">
        <v>35000</v>
      </c>
      <c r="F66" s="1">
        <v>0</v>
      </c>
      <c r="G66" s="4">
        <v>46031</v>
      </c>
      <c r="H66" s="4">
        <v>46037</v>
      </c>
      <c r="I66" s="4">
        <v>46040</v>
      </c>
      <c r="J66" s="4"/>
      <c r="K66" s="1" t="s">
        <v>63</v>
      </c>
      <c r="L66" s="1"/>
      <c r="M66" s="1"/>
      <c r="N66" s="1"/>
      <c r="O66" s="1"/>
      <c r="P66" s="1"/>
      <c r="Q66" s="1"/>
      <c r="R66" s="1"/>
      <c r="S66" s="1"/>
    </row>
    <row r="67" spans="1:19" ht="23" customHeight="1">
      <c r="A67" s="1" t="s">
        <v>124</v>
      </c>
      <c r="B67" s="4">
        <v>46079</v>
      </c>
      <c r="C67" s="1" t="s">
        <v>18</v>
      </c>
      <c r="D67" s="1" t="s">
        <v>59</v>
      </c>
      <c r="E67" s="5">
        <v>11000</v>
      </c>
      <c r="F67" s="1">
        <v>0</v>
      </c>
      <c r="G67" s="4">
        <v>46081</v>
      </c>
      <c r="H67" s="4">
        <v>46087</v>
      </c>
      <c r="I67" s="4">
        <v>46089</v>
      </c>
      <c r="J67" s="4"/>
      <c r="K67" s="1" t="s">
        <v>55</v>
      </c>
      <c r="L67" s="1"/>
      <c r="M67" s="1"/>
      <c r="N67" s="1"/>
      <c r="O67" s="1"/>
      <c r="P67" s="1"/>
      <c r="Q67" s="1"/>
      <c r="R67" s="1"/>
      <c r="S67" s="1"/>
    </row>
    <row r="68" spans="1:19" ht="23" customHeight="1">
      <c r="A68" s="1" t="s">
        <v>125</v>
      </c>
      <c r="B68" s="4">
        <v>46027</v>
      </c>
      <c r="C68" s="1" t="s">
        <v>18</v>
      </c>
      <c r="D68" s="1" t="s">
        <v>59</v>
      </c>
      <c r="E68" s="5">
        <v>24000</v>
      </c>
      <c r="F68" s="1">
        <v>0</v>
      </c>
      <c r="G68" s="4">
        <v>46029</v>
      </c>
      <c r="H68" s="4">
        <v>46030</v>
      </c>
      <c r="I68" s="4">
        <v>46032</v>
      </c>
      <c r="J68" s="4"/>
      <c r="K68" s="1" t="s">
        <v>63</v>
      </c>
      <c r="L68" s="1"/>
      <c r="M68" s="1"/>
      <c r="N68" s="1"/>
      <c r="O68" s="1"/>
      <c r="P68" s="1"/>
      <c r="Q68" s="1"/>
      <c r="R68" s="1"/>
      <c r="S68" s="1"/>
    </row>
    <row r="69" spans="1:19" ht="23" customHeight="1">
      <c r="A69" s="1" t="s">
        <v>126</v>
      </c>
      <c r="B69" s="4">
        <v>46106</v>
      </c>
      <c r="C69" s="1" t="s">
        <v>19</v>
      </c>
      <c r="D69" s="1" t="s">
        <v>54</v>
      </c>
      <c r="E69" s="5">
        <v>30000</v>
      </c>
      <c r="F69" s="1">
        <v>0</v>
      </c>
      <c r="G69" s="4">
        <v>46108</v>
      </c>
      <c r="H69" s="4">
        <v>46111</v>
      </c>
      <c r="I69" s="4"/>
      <c r="J69" s="4"/>
      <c r="K69" s="1" t="s">
        <v>69</v>
      </c>
      <c r="L69" s="1"/>
      <c r="M69" s="1"/>
      <c r="N69" s="1"/>
      <c r="O69" s="1"/>
      <c r="P69" s="1"/>
      <c r="Q69" s="1"/>
      <c r="R69" s="1"/>
      <c r="S69" s="1"/>
    </row>
    <row r="70" spans="1:19" ht="23" customHeight="1">
      <c r="A70" s="1" t="s">
        <v>127</v>
      </c>
      <c r="B70" s="4">
        <v>46110</v>
      </c>
      <c r="C70" s="1" t="s">
        <v>19</v>
      </c>
      <c r="D70" s="1" t="s">
        <v>54</v>
      </c>
      <c r="E70" s="5">
        <v>29000</v>
      </c>
      <c r="F70" s="1">
        <v>0</v>
      </c>
      <c r="G70" s="4">
        <v>46112</v>
      </c>
      <c r="H70" s="4"/>
      <c r="I70" s="4"/>
      <c r="J70" s="4"/>
      <c r="K70" s="1" t="s">
        <v>69</v>
      </c>
      <c r="L70" s="1"/>
      <c r="M70" s="1"/>
      <c r="N70" s="1"/>
      <c r="O70" s="1"/>
      <c r="P70" s="1"/>
      <c r="Q70" s="1"/>
      <c r="R70" s="1"/>
      <c r="S70" s="1"/>
    </row>
    <row r="71" spans="1:19" ht="23" customHeight="1">
      <c r="A71" s="1" t="s">
        <v>128</v>
      </c>
      <c r="B71" s="4">
        <v>46108</v>
      </c>
      <c r="C71" s="1" t="s">
        <v>18</v>
      </c>
      <c r="D71" s="1" t="s">
        <v>65</v>
      </c>
      <c r="E71" s="5">
        <v>35000</v>
      </c>
      <c r="F71" s="1">
        <v>1</v>
      </c>
      <c r="G71" s="4"/>
      <c r="H71" s="4"/>
      <c r="I71" s="4"/>
      <c r="J71" s="4"/>
      <c r="K71" s="1" t="s">
        <v>69</v>
      </c>
      <c r="L71" s="1"/>
      <c r="M71" s="1"/>
      <c r="N71" s="1"/>
      <c r="O71" s="1"/>
      <c r="P71" s="1"/>
      <c r="Q71" s="1"/>
      <c r="R71" s="1"/>
      <c r="S71" s="1"/>
    </row>
    <row r="72" spans="1:19" ht="23" customHeight="1">
      <c r="A72" s="1" t="s">
        <v>129</v>
      </c>
      <c r="B72" s="4">
        <v>46032</v>
      </c>
      <c r="C72" s="1" t="s">
        <v>19</v>
      </c>
      <c r="D72" s="1" t="s">
        <v>54</v>
      </c>
      <c r="E72" s="5">
        <v>47000</v>
      </c>
      <c r="F72" s="1">
        <v>0</v>
      </c>
      <c r="G72" s="4">
        <v>46033</v>
      </c>
      <c r="H72" s="4">
        <v>46035</v>
      </c>
      <c r="I72" s="4">
        <v>46038</v>
      </c>
      <c r="J72" s="4"/>
      <c r="K72" s="1" t="s">
        <v>63</v>
      </c>
      <c r="L72" s="1"/>
      <c r="M72" s="1"/>
      <c r="N72" s="1"/>
      <c r="O72" s="1"/>
      <c r="P72" s="1"/>
      <c r="Q72" s="1"/>
      <c r="R72" s="1"/>
      <c r="S72" s="1"/>
    </row>
    <row r="73" spans="1:19" ht="23" customHeight="1">
      <c r="A73" s="1" t="s">
        <v>130</v>
      </c>
      <c r="B73" s="4">
        <v>46093</v>
      </c>
      <c r="C73" s="1" t="s">
        <v>19</v>
      </c>
      <c r="D73" s="1" t="s">
        <v>54</v>
      </c>
      <c r="E73" s="5">
        <v>20000</v>
      </c>
      <c r="F73" s="1">
        <v>0</v>
      </c>
      <c r="G73" s="4">
        <v>46093</v>
      </c>
      <c r="H73" s="4">
        <v>46099</v>
      </c>
      <c r="I73" s="4">
        <v>46102</v>
      </c>
      <c r="J73" s="4"/>
      <c r="K73" s="1" t="s">
        <v>55</v>
      </c>
      <c r="L73" s="1"/>
      <c r="M73" s="1"/>
      <c r="N73" s="1"/>
      <c r="O73" s="1"/>
      <c r="P73" s="1"/>
      <c r="Q73" s="1"/>
      <c r="R73" s="1"/>
      <c r="S73" s="1"/>
    </row>
    <row r="74" spans="1:19" ht="23" customHeight="1">
      <c r="A74" s="1" t="s">
        <v>131</v>
      </c>
      <c r="B74" s="4">
        <v>46094</v>
      </c>
      <c r="C74" s="1" t="s">
        <v>18</v>
      </c>
      <c r="D74" s="1" t="s">
        <v>62</v>
      </c>
      <c r="E74" s="5">
        <v>24000</v>
      </c>
      <c r="F74" s="1">
        <v>1</v>
      </c>
      <c r="G74" s="4">
        <v>46100</v>
      </c>
      <c r="H74" s="4">
        <v>46105</v>
      </c>
      <c r="I74" s="4">
        <v>46108</v>
      </c>
      <c r="J74" s="4"/>
      <c r="K74" s="1" t="s">
        <v>55</v>
      </c>
      <c r="L74" s="1"/>
      <c r="M74" s="1"/>
      <c r="N74" s="1"/>
      <c r="O74" s="1"/>
      <c r="P74" s="1"/>
      <c r="Q74" s="1"/>
      <c r="R74" s="1"/>
      <c r="S74" s="1"/>
    </row>
    <row r="75" spans="1:19" ht="23" customHeight="1">
      <c r="A75" s="1" t="s">
        <v>132</v>
      </c>
      <c r="B75" s="4">
        <v>46090</v>
      </c>
      <c r="C75" s="1" t="s">
        <v>19</v>
      </c>
      <c r="D75" s="1" t="s">
        <v>54</v>
      </c>
      <c r="E75" s="5">
        <v>14000</v>
      </c>
      <c r="F75" s="1">
        <v>1</v>
      </c>
      <c r="G75" s="4">
        <v>46093</v>
      </c>
      <c r="H75" s="4">
        <v>46098</v>
      </c>
      <c r="I75" s="4">
        <v>46101</v>
      </c>
      <c r="J75" s="4"/>
      <c r="K75" s="1" t="s">
        <v>63</v>
      </c>
      <c r="L75" s="1"/>
      <c r="M75" s="1"/>
      <c r="N75" s="1"/>
      <c r="O75" s="1"/>
      <c r="P75" s="1"/>
      <c r="Q75" s="1"/>
      <c r="R75" s="1"/>
      <c r="S75" s="1"/>
    </row>
    <row r="76" spans="1:19" ht="23" customHeight="1">
      <c r="A76" s="1" t="s">
        <v>133</v>
      </c>
      <c r="B76" s="4">
        <v>46028</v>
      </c>
      <c r="C76" s="1" t="s">
        <v>18</v>
      </c>
      <c r="D76" s="1" t="s">
        <v>59</v>
      </c>
      <c r="E76" s="5">
        <v>7000</v>
      </c>
      <c r="F76" s="1">
        <v>1</v>
      </c>
      <c r="G76" s="4">
        <v>46034</v>
      </c>
      <c r="H76" s="4">
        <v>46036</v>
      </c>
      <c r="I76" s="4">
        <v>46037</v>
      </c>
      <c r="J76" s="4"/>
      <c r="K76" s="1" t="s">
        <v>55</v>
      </c>
      <c r="L76" s="1"/>
      <c r="M76" s="1"/>
      <c r="N76" s="1"/>
      <c r="O76" s="1"/>
      <c r="P76" s="1"/>
      <c r="Q76" s="1"/>
      <c r="R76" s="1"/>
      <c r="S76" s="1"/>
    </row>
    <row r="77" spans="1:19" ht="23" customHeight="1">
      <c r="A77" s="1" t="s">
        <v>134</v>
      </c>
      <c r="B77" s="4">
        <v>46062</v>
      </c>
      <c r="C77" s="1" t="s">
        <v>18</v>
      </c>
      <c r="D77" s="1" t="s">
        <v>71</v>
      </c>
      <c r="E77" s="5">
        <v>40000</v>
      </c>
      <c r="F77" s="1">
        <v>1</v>
      </c>
      <c r="G77" s="4">
        <v>46065</v>
      </c>
      <c r="H77" s="4">
        <v>46069</v>
      </c>
      <c r="I77" s="4">
        <v>46071</v>
      </c>
      <c r="J77" s="4"/>
      <c r="K77" s="1" t="s">
        <v>55</v>
      </c>
      <c r="L77" s="1"/>
      <c r="M77" s="1"/>
      <c r="N77" s="1"/>
      <c r="O77" s="1"/>
      <c r="P77" s="1"/>
      <c r="Q77" s="1"/>
      <c r="R77" s="1"/>
      <c r="S77" s="1"/>
    </row>
    <row r="78" spans="1:19" ht="23" customHeight="1">
      <c r="A78" s="1" t="s">
        <v>135</v>
      </c>
      <c r="B78" s="4">
        <v>46028</v>
      </c>
      <c r="C78" s="1" t="s">
        <v>19</v>
      </c>
      <c r="D78" s="1" t="s">
        <v>54</v>
      </c>
      <c r="E78" s="5">
        <v>7000</v>
      </c>
      <c r="F78" s="1">
        <v>0</v>
      </c>
      <c r="G78" s="4">
        <v>46030</v>
      </c>
      <c r="H78" s="4">
        <v>46035</v>
      </c>
      <c r="I78" s="4">
        <v>46037</v>
      </c>
      <c r="J78" s="4"/>
      <c r="K78" s="1" t="s">
        <v>55</v>
      </c>
      <c r="L78" s="1"/>
      <c r="M78" s="1"/>
      <c r="N78" s="1"/>
      <c r="O78" s="1"/>
      <c r="P78" s="1"/>
      <c r="Q78" s="1"/>
      <c r="R78" s="1"/>
      <c r="S78" s="1"/>
    </row>
    <row r="79" spans="1:19" ht="23" customHeight="1">
      <c r="A79" s="1" t="s">
        <v>136</v>
      </c>
      <c r="B79" s="4">
        <v>46081</v>
      </c>
      <c r="C79" s="1" t="s">
        <v>19</v>
      </c>
      <c r="D79" s="1" t="s">
        <v>54</v>
      </c>
      <c r="E79" s="5">
        <v>23000</v>
      </c>
      <c r="F79" s="1">
        <v>1</v>
      </c>
      <c r="G79" s="4">
        <v>46086</v>
      </c>
      <c r="H79" s="4">
        <v>46088</v>
      </c>
      <c r="I79" s="4">
        <v>46091</v>
      </c>
      <c r="J79" s="4"/>
      <c r="K79" s="1" t="s">
        <v>63</v>
      </c>
      <c r="L79" s="1"/>
      <c r="M79" s="1"/>
      <c r="N79" s="1"/>
      <c r="O79" s="1"/>
      <c r="P79" s="1"/>
      <c r="Q79" s="1"/>
      <c r="R79" s="1"/>
      <c r="S79" s="1"/>
    </row>
    <row r="80" spans="1:19" ht="23" customHeight="1">
      <c r="A80" s="1" t="s">
        <v>137</v>
      </c>
      <c r="B80" s="4">
        <v>46043</v>
      </c>
      <c r="C80" s="1" t="s">
        <v>19</v>
      </c>
      <c r="D80" s="1" t="s">
        <v>54</v>
      </c>
      <c r="E80" s="5">
        <v>33000</v>
      </c>
      <c r="F80" s="1">
        <v>1</v>
      </c>
      <c r="G80" s="4">
        <v>46046</v>
      </c>
      <c r="H80" s="4">
        <v>46051</v>
      </c>
      <c r="I80" s="4">
        <v>46053</v>
      </c>
      <c r="J80" s="4"/>
      <c r="K80" s="1" t="s">
        <v>55</v>
      </c>
      <c r="L80" s="1"/>
      <c r="M80" s="1"/>
      <c r="N80" s="1"/>
      <c r="O80" s="1"/>
      <c r="P80" s="1"/>
      <c r="Q80" s="1"/>
      <c r="R80" s="1"/>
      <c r="S80" s="1"/>
    </row>
    <row r="81" spans="1:19" ht="23" customHeight="1">
      <c r="A81" s="1" t="s">
        <v>138</v>
      </c>
      <c r="B81" s="4">
        <v>46027</v>
      </c>
      <c r="C81" s="1" t="s">
        <v>18</v>
      </c>
      <c r="D81" s="1" t="s">
        <v>59</v>
      </c>
      <c r="E81" s="5">
        <v>8000</v>
      </c>
      <c r="F81" s="1">
        <v>1</v>
      </c>
      <c r="G81" s="4">
        <v>46030</v>
      </c>
      <c r="H81" s="4">
        <v>46036</v>
      </c>
      <c r="I81" s="4">
        <v>46038</v>
      </c>
      <c r="J81" s="4"/>
      <c r="K81" s="1" t="s">
        <v>63</v>
      </c>
      <c r="L81" s="1"/>
      <c r="M81" s="1"/>
      <c r="N81" s="1"/>
      <c r="O81" s="1"/>
      <c r="P81" s="1"/>
      <c r="Q81" s="1"/>
      <c r="R81" s="1"/>
      <c r="S81" s="1"/>
    </row>
    <row r="82" spans="1:19" ht="23" customHeight="1">
      <c r="A82" s="1" t="s">
        <v>139</v>
      </c>
      <c r="B82" s="4">
        <v>46031</v>
      </c>
      <c r="C82" s="1" t="s">
        <v>18</v>
      </c>
      <c r="D82" s="1" t="s">
        <v>62</v>
      </c>
      <c r="E82" s="5">
        <v>6000</v>
      </c>
      <c r="F82" s="1">
        <v>1</v>
      </c>
      <c r="G82" s="4">
        <v>46038</v>
      </c>
      <c r="H82" s="4">
        <v>46043</v>
      </c>
      <c r="I82" s="4">
        <v>46044</v>
      </c>
      <c r="J82" s="4"/>
      <c r="K82" s="1" t="s">
        <v>55</v>
      </c>
      <c r="L82" s="1"/>
      <c r="M82" s="1"/>
      <c r="N82" s="1"/>
      <c r="O82" s="1"/>
      <c r="P82" s="1"/>
      <c r="Q82" s="1"/>
      <c r="R82" s="1"/>
      <c r="S82" s="1"/>
    </row>
    <row r="83" spans="1:19" ht="23" customHeight="1">
      <c r="A83" s="1" t="s">
        <v>140</v>
      </c>
      <c r="B83" s="4">
        <v>46082</v>
      </c>
      <c r="C83" s="1" t="s">
        <v>18</v>
      </c>
      <c r="D83" s="1" t="s">
        <v>62</v>
      </c>
      <c r="E83" s="5">
        <v>20000</v>
      </c>
      <c r="F83" s="1">
        <v>0</v>
      </c>
      <c r="G83" s="4">
        <v>46084</v>
      </c>
      <c r="H83" s="4">
        <v>46089</v>
      </c>
      <c r="I83" s="4">
        <v>46092</v>
      </c>
      <c r="J83" s="4"/>
      <c r="K83" s="1" t="s">
        <v>55</v>
      </c>
      <c r="L83" s="1"/>
      <c r="M83" s="1"/>
      <c r="N83" s="1"/>
      <c r="O83" s="1"/>
      <c r="P83" s="1"/>
      <c r="Q83" s="1"/>
      <c r="R83" s="1"/>
      <c r="S83" s="1"/>
    </row>
    <row r="84" spans="1:19" ht="23" customHeight="1">
      <c r="A84" s="1" t="s">
        <v>141</v>
      </c>
      <c r="B84" s="4">
        <v>46087</v>
      </c>
      <c r="C84" s="1" t="s">
        <v>18</v>
      </c>
      <c r="D84" s="1" t="s">
        <v>65</v>
      </c>
      <c r="E84" s="5">
        <v>11000</v>
      </c>
      <c r="F84" s="1">
        <v>0</v>
      </c>
      <c r="G84" s="4">
        <v>46089</v>
      </c>
      <c r="H84" s="4">
        <v>46090</v>
      </c>
      <c r="I84" s="4">
        <v>46091</v>
      </c>
      <c r="J84" s="4"/>
      <c r="K84" s="1" t="s">
        <v>55</v>
      </c>
      <c r="L84" s="1"/>
      <c r="M84" s="1"/>
      <c r="N84" s="1"/>
      <c r="O84" s="1"/>
      <c r="P84" s="1"/>
      <c r="Q84" s="1"/>
      <c r="R84" s="1"/>
      <c r="S84" s="1"/>
    </row>
    <row r="85" spans="1:19" ht="23" customHeight="1">
      <c r="A85" s="1" t="s">
        <v>142</v>
      </c>
      <c r="B85" s="4">
        <v>46112</v>
      </c>
      <c r="C85" s="1" t="s">
        <v>18</v>
      </c>
      <c r="D85" s="1" t="s">
        <v>62</v>
      </c>
      <c r="E85" s="5">
        <v>42000</v>
      </c>
      <c r="F85" s="1">
        <v>0</v>
      </c>
      <c r="G85" s="4"/>
      <c r="H85" s="4"/>
      <c r="I85" s="4"/>
      <c r="J85" s="4"/>
      <c r="K85" s="1" t="s">
        <v>69</v>
      </c>
      <c r="L85" s="1"/>
      <c r="M85" s="1"/>
      <c r="N85" s="1"/>
      <c r="O85" s="1"/>
      <c r="P85" s="1"/>
      <c r="Q85" s="1"/>
      <c r="R85" s="1"/>
      <c r="S85" s="1"/>
    </row>
    <row r="86" spans="1:19" ht="23" customHeight="1">
      <c r="A86" s="1" t="s">
        <v>143</v>
      </c>
      <c r="B86" s="4">
        <v>46084</v>
      </c>
      <c r="C86" s="1" t="s">
        <v>19</v>
      </c>
      <c r="D86" s="1" t="s">
        <v>54</v>
      </c>
      <c r="E86" s="5">
        <v>41000</v>
      </c>
      <c r="F86" s="1">
        <v>1</v>
      </c>
      <c r="G86" s="4">
        <v>46094</v>
      </c>
      <c r="H86" s="4">
        <v>46097</v>
      </c>
      <c r="I86" s="4">
        <v>46098</v>
      </c>
      <c r="J86" s="4"/>
      <c r="K86" s="1" t="s">
        <v>55</v>
      </c>
      <c r="L86" s="1"/>
      <c r="M86" s="1"/>
      <c r="N86" s="1"/>
      <c r="O86" s="1"/>
      <c r="P86" s="1"/>
      <c r="Q86" s="1"/>
      <c r="R86" s="1"/>
      <c r="S86" s="1"/>
    </row>
    <row r="87" spans="1:19" ht="23" customHeight="1">
      <c r="A87" s="1" t="s">
        <v>144</v>
      </c>
      <c r="B87" s="4">
        <v>46043</v>
      </c>
      <c r="C87" s="1" t="s">
        <v>18</v>
      </c>
      <c r="D87" s="1" t="s">
        <v>62</v>
      </c>
      <c r="E87" s="5">
        <v>47000</v>
      </c>
      <c r="F87" s="1">
        <v>0</v>
      </c>
      <c r="G87" s="4">
        <v>46044</v>
      </c>
      <c r="H87" s="4">
        <v>46051</v>
      </c>
      <c r="I87" s="4">
        <v>46053</v>
      </c>
      <c r="J87" s="4"/>
      <c r="K87" s="1" t="s">
        <v>63</v>
      </c>
      <c r="L87" s="1"/>
      <c r="M87" s="1"/>
      <c r="N87" s="1"/>
      <c r="O87" s="1"/>
      <c r="P87" s="1"/>
      <c r="Q87" s="1"/>
      <c r="R87" s="1"/>
      <c r="S87" s="1"/>
    </row>
    <row r="88" spans="1:19" ht="23" customHeight="1">
      <c r="A88" s="1" t="s">
        <v>145</v>
      </c>
      <c r="B88" s="4">
        <v>46073</v>
      </c>
      <c r="C88" s="1" t="s">
        <v>18</v>
      </c>
      <c r="D88" s="1" t="s">
        <v>71</v>
      </c>
      <c r="E88" s="5">
        <v>28000</v>
      </c>
      <c r="F88" s="1">
        <v>1</v>
      </c>
      <c r="G88" s="4">
        <v>46080</v>
      </c>
      <c r="H88" s="4">
        <v>46085</v>
      </c>
      <c r="I88" s="4">
        <v>46086</v>
      </c>
      <c r="J88" s="4"/>
      <c r="K88" s="1" t="s">
        <v>63</v>
      </c>
      <c r="L88" s="1"/>
      <c r="M88" s="1"/>
      <c r="N88" s="1"/>
      <c r="O88" s="1"/>
      <c r="P88" s="1"/>
      <c r="Q88" s="1"/>
      <c r="R88" s="1"/>
      <c r="S88" s="1"/>
    </row>
    <row r="89" spans="1:19" ht="23" customHeight="1">
      <c r="A89" s="1" t="s">
        <v>146</v>
      </c>
      <c r="B89" s="4">
        <v>46033</v>
      </c>
      <c r="C89" s="1" t="s">
        <v>18</v>
      </c>
      <c r="D89" s="1" t="s">
        <v>71</v>
      </c>
      <c r="E89" s="5">
        <v>23000</v>
      </c>
      <c r="F89" s="1">
        <v>0</v>
      </c>
      <c r="G89" s="4">
        <v>46034</v>
      </c>
      <c r="H89" s="4">
        <v>46035</v>
      </c>
      <c r="I89" s="4">
        <v>46037</v>
      </c>
      <c r="J89" s="4"/>
      <c r="K89" s="1" t="s">
        <v>55</v>
      </c>
      <c r="L89" s="1"/>
      <c r="M89" s="1"/>
      <c r="N89" s="1"/>
      <c r="O89" s="1"/>
      <c r="P89" s="1"/>
      <c r="Q89" s="1"/>
      <c r="R89" s="1"/>
      <c r="S89" s="1"/>
    </row>
    <row r="90" spans="1:19" ht="23" customHeight="1">
      <c r="A90" s="1" t="s">
        <v>147</v>
      </c>
      <c r="B90" s="4">
        <v>46107</v>
      </c>
      <c r="C90" s="1" t="s">
        <v>19</v>
      </c>
      <c r="D90" s="1" t="s">
        <v>54</v>
      </c>
      <c r="E90" s="5">
        <v>6000</v>
      </c>
      <c r="F90" s="1">
        <v>0</v>
      </c>
      <c r="G90" s="4">
        <v>46109</v>
      </c>
      <c r="H90" s="4">
        <v>46111</v>
      </c>
      <c r="I90" s="4">
        <v>46112</v>
      </c>
      <c r="J90" s="4"/>
      <c r="K90" s="1" t="s">
        <v>55</v>
      </c>
      <c r="L90" s="1"/>
      <c r="M90" s="1"/>
      <c r="N90" s="1"/>
      <c r="O90" s="1"/>
      <c r="P90" s="1"/>
      <c r="Q90" s="1"/>
      <c r="R90" s="1"/>
      <c r="S90" s="1"/>
    </row>
    <row r="91" spans="1:19" ht="23" customHeight="1">
      <c r="A91" s="1" t="s">
        <v>148</v>
      </c>
      <c r="B91" s="4">
        <v>46057</v>
      </c>
      <c r="C91" s="1" t="s">
        <v>19</v>
      </c>
      <c r="D91" s="1" t="s">
        <v>54</v>
      </c>
      <c r="E91" s="5">
        <v>5000</v>
      </c>
      <c r="F91" s="1">
        <v>0</v>
      </c>
      <c r="G91" s="4">
        <v>46057</v>
      </c>
      <c r="H91" s="4">
        <v>46063</v>
      </c>
      <c r="I91" s="4">
        <v>46066</v>
      </c>
      <c r="J91" s="4"/>
      <c r="K91" s="1" t="s">
        <v>63</v>
      </c>
      <c r="L91" s="1"/>
      <c r="M91" s="1"/>
      <c r="N91" s="1"/>
      <c r="O91" s="1"/>
      <c r="P91" s="1"/>
      <c r="Q91" s="1"/>
      <c r="R91" s="1"/>
      <c r="S91" s="1"/>
    </row>
    <row r="92" spans="1:19" ht="23" customHeight="1">
      <c r="A92" s="1" t="s">
        <v>149</v>
      </c>
      <c r="B92" s="4">
        <v>46099</v>
      </c>
      <c r="C92" s="1" t="s">
        <v>18</v>
      </c>
      <c r="D92" s="1" t="s">
        <v>71</v>
      </c>
      <c r="E92" s="5">
        <v>26000</v>
      </c>
      <c r="F92" s="1">
        <v>0</v>
      </c>
      <c r="G92" s="4">
        <v>46101</v>
      </c>
      <c r="H92" s="4">
        <v>46107</v>
      </c>
      <c r="I92" s="4">
        <v>46110</v>
      </c>
      <c r="J92" s="4"/>
      <c r="K92" s="1" t="s">
        <v>55</v>
      </c>
      <c r="L92" s="1"/>
      <c r="M92" s="1"/>
      <c r="N92" s="1"/>
      <c r="O92" s="1"/>
      <c r="P92" s="1"/>
      <c r="Q92" s="1"/>
      <c r="R92" s="1"/>
      <c r="S92" s="1"/>
    </row>
    <row r="93" spans="1:19" ht="23" customHeight="1">
      <c r="A93" s="1" t="s">
        <v>150</v>
      </c>
      <c r="B93" s="4">
        <v>46088</v>
      </c>
      <c r="C93" s="1" t="s">
        <v>19</v>
      </c>
      <c r="D93" s="1" t="s">
        <v>54</v>
      </c>
      <c r="E93" s="5">
        <v>6000</v>
      </c>
      <c r="F93" s="1">
        <v>0</v>
      </c>
      <c r="G93" s="4">
        <v>46088</v>
      </c>
      <c r="H93" s="4">
        <v>46093</v>
      </c>
      <c r="I93" s="4">
        <v>46096</v>
      </c>
      <c r="J93" s="4"/>
      <c r="K93" s="1" t="s">
        <v>55</v>
      </c>
      <c r="L93" s="1"/>
      <c r="M93" s="1"/>
      <c r="N93" s="1"/>
      <c r="O93" s="1"/>
      <c r="P93" s="1"/>
      <c r="Q93" s="1"/>
      <c r="R93" s="1"/>
      <c r="S93" s="1"/>
    </row>
    <row r="94" spans="1:19" ht="23" customHeight="1">
      <c r="A94" s="1" t="s">
        <v>151</v>
      </c>
      <c r="B94" s="4">
        <v>46112</v>
      </c>
      <c r="C94" s="1" t="s">
        <v>18</v>
      </c>
      <c r="D94" s="1" t="s">
        <v>65</v>
      </c>
      <c r="E94" s="5">
        <v>19000</v>
      </c>
      <c r="F94" s="1">
        <v>1</v>
      </c>
      <c r="G94" s="4"/>
      <c r="H94" s="4"/>
      <c r="I94" s="4"/>
      <c r="J94" s="4"/>
      <c r="K94" s="1" t="s">
        <v>69</v>
      </c>
      <c r="L94" s="1"/>
      <c r="M94" s="1"/>
      <c r="N94" s="1"/>
      <c r="O94" s="1"/>
      <c r="P94" s="1"/>
      <c r="Q94" s="1"/>
      <c r="R94" s="1"/>
      <c r="S94" s="1"/>
    </row>
    <row r="95" spans="1:19" ht="23" customHeight="1">
      <c r="A95" s="1" t="s">
        <v>152</v>
      </c>
      <c r="B95" s="4">
        <v>46028</v>
      </c>
      <c r="C95" s="1" t="s">
        <v>18</v>
      </c>
      <c r="D95" s="1" t="s">
        <v>65</v>
      </c>
      <c r="E95" s="5">
        <v>42000</v>
      </c>
      <c r="F95" s="1">
        <v>1</v>
      </c>
      <c r="G95" s="4">
        <v>46033</v>
      </c>
      <c r="H95" s="4">
        <v>46035</v>
      </c>
      <c r="I95" s="4">
        <v>46037</v>
      </c>
      <c r="J95" s="4"/>
      <c r="K95" s="1" t="s">
        <v>55</v>
      </c>
      <c r="L95" s="1"/>
      <c r="M95" s="1"/>
      <c r="N95" s="1"/>
      <c r="O95" s="1"/>
      <c r="P95" s="1"/>
      <c r="Q95" s="1"/>
      <c r="R95" s="1"/>
      <c r="S95" s="1"/>
    </row>
    <row r="96" spans="1:19" ht="23" customHeight="1">
      <c r="A96" s="1" t="s">
        <v>153</v>
      </c>
      <c r="B96" s="4">
        <v>46078</v>
      </c>
      <c r="C96" s="1" t="s">
        <v>18</v>
      </c>
      <c r="D96" s="1" t="s">
        <v>62</v>
      </c>
      <c r="E96" s="5">
        <v>49000</v>
      </c>
      <c r="F96" s="1">
        <v>0</v>
      </c>
      <c r="G96" s="4">
        <v>46079</v>
      </c>
      <c r="H96" s="4">
        <v>46086</v>
      </c>
      <c r="I96" s="4">
        <v>46088</v>
      </c>
      <c r="J96" s="4"/>
      <c r="K96" s="1" t="s">
        <v>63</v>
      </c>
      <c r="L96" s="1"/>
      <c r="M96" s="1"/>
      <c r="N96" s="1"/>
      <c r="O96" s="1"/>
      <c r="P96" s="1"/>
      <c r="Q96" s="1"/>
      <c r="R96" s="1"/>
      <c r="S96" s="1"/>
    </row>
    <row r="97" spans="1:19" ht="23" customHeight="1">
      <c r="A97" s="1" t="s">
        <v>154</v>
      </c>
      <c r="B97" s="4">
        <v>46059</v>
      </c>
      <c r="C97" s="1" t="s">
        <v>18</v>
      </c>
      <c r="D97" s="1" t="s">
        <v>65</v>
      </c>
      <c r="E97" s="5">
        <v>13000</v>
      </c>
      <c r="F97" s="1">
        <v>1</v>
      </c>
      <c r="G97" s="4">
        <v>46064</v>
      </c>
      <c r="H97" s="4">
        <v>46065</v>
      </c>
      <c r="I97" s="4">
        <v>46066</v>
      </c>
      <c r="J97" s="4"/>
      <c r="K97" s="1" t="s">
        <v>55</v>
      </c>
      <c r="L97" s="1"/>
      <c r="M97" s="1"/>
      <c r="N97" s="1"/>
      <c r="O97" s="1"/>
      <c r="P97" s="1"/>
      <c r="Q97" s="1"/>
      <c r="R97" s="1"/>
      <c r="S97" s="1"/>
    </row>
    <row r="98" spans="1:19" ht="23" customHeight="1">
      <c r="A98" s="1" t="s">
        <v>155</v>
      </c>
      <c r="B98" s="4">
        <v>46044</v>
      </c>
      <c r="C98" s="1" t="s">
        <v>18</v>
      </c>
      <c r="D98" s="1" t="s">
        <v>59</v>
      </c>
      <c r="E98" s="5">
        <v>34000</v>
      </c>
      <c r="F98" s="1">
        <v>0</v>
      </c>
      <c r="G98" s="4">
        <v>46044</v>
      </c>
      <c r="H98" s="4">
        <v>46049</v>
      </c>
      <c r="I98" s="4">
        <v>46050</v>
      </c>
      <c r="J98" s="4"/>
      <c r="K98" s="1" t="s">
        <v>55</v>
      </c>
      <c r="L98" s="1"/>
      <c r="M98" s="1"/>
      <c r="N98" s="1"/>
      <c r="O98" s="1"/>
      <c r="P98" s="1"/>
      <c r="Q98" s="1"/>
      <c r="R98" s="1"/>
      <c r="S98" s="1"/>
    </row>
    <row r="99" spans="1:19" ht="23" customHeight="1">
      <c r="A99" s="1" t="s">
        <v>156</v>
      </c>
      <c r="B99" s="4">
        <v>46079</v>
      </c>
      <c r="C99" s="1" t="s">
        <v>18</v>
      </c>
      <c r="D99" s="1" t="s">
        <v>71</v>
      </c>
      <c r="E99" s="5">
        <v>37000</v>
      </c>
      <c r="F99" s="1">
        <v>1</v>
      </c>
      <c r="G99" s="4"/>
      <c r="H99" s="4"/>
      <c r="I99" s="4"/>
      <c r="J99" s="4">
        <v>46081</v>
      </c>
      <c r="K99" s="1" t="s">
        <v>86</v>
      </c>
      <c r="L99" s="1"/>
      <c r="M99" s="1"/>
      <c r="N99" s="1"/>
      <c r="O99" s="1"/>
      <c r="P99" s="1"/>
      <c r="Q99" s="1"/>
      <c r="R99" s="1"/>
      <c r="S99" s="1"/>
    </row>
    <row r="100" spans="1:19" ht="23" customHeight="1">
      <c r="A100" s="1" t="s">
        <v>157</v>
      </c>
      <c r="B100" s="4">
        <v>46111</v>
      </c>
      <c r="C100" s="1" t="s">
        <v>19</v>
      </c>
      <c r="D100" s="1" t="s">
        <v>54</v>
      </c>
      <c r="E100" s="5">
        <v>17000</v>
      </c>
      <c r="F100" s="1">
        <v>0</v>
      </c>
      <c r="G100" s="4">
        <v>46111</v>
      </c>
      <c r="H100" s="4">
        <v>46112</v>
      </c>
      <c r="I100" s="4"/>
      <c r="J100" s="4"/>
      <c r="K100" s="1" t="s">
        <v>69</v>
      </c>
      <c r="L100" s="1"/>
      <c r="M100" s="1"/>
      <c r="N100" s="1"/>
      <c r="O100" s="1"/>
      <c r="P100" s="1"/>
      <c r="Q100" s="1"/>
      <c r="R100" s="1"/>
      <c r="S100" s="1"/>
    </row>
    <row r="101" spans="1:19" ht="23" customHeight="1">
      <c r="A101" s="1" t="s">
        <v>158</v>
      </c>
      <c r="B101" s="4">
        <v>46104</v>
      </c>
      <c r="C101" s="1" t="s">
        <v>18</v>
      </c>
      <c r="D101" s="1" t="s">
        <v>62</v>
      </c>
      <c r="E101" s="5">
        <v>12000</v>
      </c>
      <c r="F101" s="1">
        <v>0</v>
      </c>
      <c r="G101" s="4">
        <v>46104</v>
      </c>
      <c r="H101" s="4">
        <v>46110</v>
      </c>
      <c r="I101" s="4"/>
      <c r="J101" s="4"/>
      <c r="K101" s="1" t="s">
        <v>69</v>
      </c>
      <c r="L101" s="1"/>
      <c r="M101" s="1"/>
      <c r="N101" s="1"/>
      <c r="O101" s="1"/>
      <c r="P101" s="1"/>
      <c r="Q101" s="1"/>
      <c r="R101" s="1"/>
      <c r="S101" s="1"/>
    </row>
    <row r="102" spans="1:19" ht="23" customHeight="1">
      <c r="A102" s="1" t="s">
        <v>159</v>
      </c>
      <c r="B102" s="4">
        <v>46037</v>
      </c>
      <c r="C102" s="1" t="s">
        <v>19</v>
      </c>
      <c r="D102" s="1" t="s">
        <v>54</v>
      </c>
      <c r="E102" s="5">
        <v>9000</v>
      </c>
      <c r="F102" s="1">
        <v>0</v>
      </c>
      <c r="G102" s="4">
        <v>46038</v>
      </c>
      <c r="H102" s="4">
        <v>46039</v>
      </c>
      <c r="I102" s="4">
        <v>46042</v>
      </c>
      <c r="J102" s="4"/>
      <c r="K102" s="1" t="s">
        <v>55</v>
      </c>
      <c r="L102" s="1"/>
      <c r="M102" s="1"/>
      <c r="N102" s="1"/>
      <c r="O102" s="1"/>
      <c r="P102" s="1"/>
      <c r="Q102" s="1"/>
      <c r="R102" s="1"/>
      <c r="S102" s="1"/>
    </row>
    <row r="103" spans="1:19" ht="23" customHeight="1">
      <c r="A103" s="1" t="s">
        <v>160</v>
      </c>
      <c r="B103" s="4">
        <v>46084</v>
      </c>
      <c r="C103" s="1" t="s">
        <v>19</v>
      </c>
      <c r="D103" s="1" t="s">
        <v>54</v>
      </c>
      <c r="E103" s="5">
        <v>25000</v>
      </c>
      <c r="F103" s="1">
        <v>1</v>
      </c>
      <c r="G103" s="4">
        <v>46093</v>
      </c>
      <c r="H103" s="4">
        <v>46098</v>
      </c>
      <c r="I103" s="4">
        <v>46099</v>
      </c>
      <c r="J103" s="4"/>
      <c r="K103" s="1" t="s">
        <v>55</v>
      </c>
      <c r="L103" s="1"/>
      <c r="M103" s="1"/>
      <c r="N103" s="1"/>
      <c r="O103" s="1"/>
      <c r="P103" s="1"/>
      <c r="Q103" s="1"/>
      <c r="R103" s="1"/>
      <c r="S103" s="1"/>
    </row>
    <row r="104" spans="1:19" ht="23" customHeight="1">
      <c r="A104" s="1" t="s">
        <v>161</v>
      </c>
      <c r="B104" s="4">
        <v>46092</v>
      </c>
      <c r="C104" s="1" t="s">
        <v>19</v>
      </c>
      <c r="D104" s="1" t="s">
        <v>54</v>
      </c>
      <c r="E104" s="5">
        <v>48000</v>
      </c>
      <c r="F104" s="1">
        <v>0</v>
      </c>
      <c r="G104" s="4">
        <v>46093</v>
      </c>
      <c r="H104" s="4">
        <v>46097</v>
      </c>
      <c r="I104" s="4">
        <v>46098</v>
      </c>
      <c r="J104" s="4"/>
      <c r="K104" s="1" t="s">
        <v>63</v>
      </c>
      <c r="L104" s="1"/>
      <c r="M104" s="1"/>
      <c r="N104" s="1"/>
      <c r="O104" s="1"/>
      <c r="P104" s="1"/>
      <c r="Q104" s="1"/>
      <c r="R104" s="1"/>
      <c r="S104" s="1"/>
    </row>
    <row r="105" spans="1:19" ht="23" customHeight="1">
      <c r="A105" s="1" t="s">
        <v>162</v>
      </c>
      <c r="B105" s="4">
        <v>46091</v>
      </c>
      <c r="C105" s="1" t="s">
        <v>19</v>
      </c>
      <c r="D105" s="1" t="s">
        <v>54</v>
      </c>
      <c r="E105" s="5">
        <v>35000</v>
      </c>
      <c r="F105" s="1">
        <v>0</v>
      </c>
      <c r="G105" s="4">
        <v>46091</v>
      </c>
      <c r="H105" s="4">
        <v>46094</v>
      </c>
      <c r="I105" s="4">
        <v>46097</v>
      </c>
      <c r="J105" s="4"/>
      <c r="K105" s="1" t="s">
        <v>55</v>
      </c>
      <c r="L105" s="1"/>
      <c r="M105" s="1"/>
      <c r="N105" s="1"/>
      <c r="O105" s="1"/>
      <c r="P105" s="1"/>
      <c r="Q105" s="1"/>
      <c r="R105" s="1"/>
      <c r="S105" s="1"/>
    </row>
    <row r="106" spans="1:19" ht="23" customHeight="1">
      <c r="A106" s="1" t="s">
        <v>163</v>
      </c>
      <c r="B106" s="4">
        <v>46071</v>
      </c>
      <c r="C106" s="1" t="s">
        <v>18</v>
      </c>
      <c r="D106" s="1" t="s">
        <v>71</v>
      </c>
      <c r="E106" s="5">
        <v>32000</v>
      </c>
      <c r="F106" s="1">
        <v>0</v>
      </c>
      <c r="G106" s="4">
        <v>46071</v>
      </c>
      <c r="H106" s="4">
        <v>46074</v>
      </c>
      <c r="I106" s="4">
        <v>46076</v>
      </c>
      <c r="J106" s="4"/>
      <c r="K106" s="1" t="s">
        <v>55</v>
      </c>
      <c r="L106" s="1"/>
      <c r="M106" s="1"/>
      <c r="N106" s="1"/>
      <c r="O106" s="1"/>
      <c r="P106" s="1"/>
      <c r="Q106" s="1"/>
      <c r="R106" s="1"/>
      <c r="S106" s="1"/>
    </row>
    <row r="107" spans="1:19" ht="23" customHeight="1">
      <c r="A107" s="1" t="s">
        <v>164</v>
      </c>
      <c r="B107" s="4">
        <v>46109</v>
      </c>
      <c r="C107" s="1" t="s">
        <v>19</v>
      </c>
      <c r="D107" s="1" t="s">
        <v>54</v>
      </c>
      <c r="E107" s="5">
        <v>31000</v>
      </c>
      <c r="F107" s="1">
        <v>1</v>
      </c>
      <c r="G107" s="4"/>
      <c r="H107" s="4"/>
      <c r="I107" s="4"/>
      <c r="J107" s="4"/>
      <c r="K107" s="1" t="s">
        <v>69</v>
      </c>
      <c r="L107" s="1"/>
      <c r="M107" s="1"/>
      <c r="N107" s="1"/>
      <c r="O107" s="1"/>
      <c r="P107" s="1"/>
      <c r="Q107" s="1"/>
      <c r="R107" s="1"/>
      <c r="S107" s="1"/>
    </row>
    <row r="108" spans="1:19" ht="23" customHeight="1">
      <c r="A108" s="1" t="s">
        <v>165</v>
      </c>
      <c r="B108" s="4">
        <v>46079</v>
      </c>
      <c r="C108" s="1" t="s">
        <v>19</v>
      </c>
      <c r="D108" s="1" t="s">
        <v>54</v>
      </c>
      <c r="E108" s="5">
        <v>9000</v>
      </c>
      <c r="F108" s="1">
        <v>0</v>
      </c>
      <c r="G108" s="4">
        <v>46081</v>
      </c>
      <c r="H108" s="4">
        <v>46083</v>
      </c>
      <c r="I108" s="4">
        <v>46086</v>
      </c>
      <c r="J108" s="4"/>
      <c r="K108" s="1" t="s">
        <v>55</v>
      </c>
      <c r="L108" s="1"/>
      <c r="M108" s="1"/>
      <c r="N108" s="1"/>
      <c r="O108" s="1"/>
      <c r="P108" s="1"/>
      <c r="Q108" s="1"/>
      <c r="R108" s="1"/>
      <c r="S108" s="1"/>
    </row>
    <row r="109" spans="1:19" ht="23" customHeight="1">
      <c r="A109" s="1" t="s">
        <v>166</v>
      </c>
      <c r="B109" s="4">
        <v>46101</v>
      </c>
      <c r="C109" s="1" t="s">
        <v>18</v>
      </c>
      <c r="D109" s="1" t="s">
        <v>59</v>
      </c>
      <c r="E109" s="5">
        <v>33000</v>
      </c>
      <c r="F109" s="1">
        <v>1</v>
      </c>
      <c r="G109" s="4">
        <v>46111</v>
      </c>
      <c r="H109" s="4"/>
      <c r="I109" s="4"/>
      <c r="J109" s="4"/>
      <c r="K109" s="1" t="s">
        <v>69</v>
      </c>
      <c r="L109" s="1"/>
      <c r="M109" s="1"/>
      <c r="N109" s="1"/>
      <c r="O109" s="1"/>
      <c r="P109" s="1"/>
      <c r="Q109" s="1"/>
      <c r="R109" s="1"/>
      <c r="S109" s="1"/>
    </row>
    <row r="110" spans="1:19" ht="23" customHeight="1">
      <c r="A110" s="1" t="s">
        <v>167</v>
      </c>
      <c r="B110" s="4">
        <v>46093</v>
      </c>
      <c r="C110" s="1" t="s">
        <v>19</v>
      </c>
      <c r="D110" s="1" t="s">
        <v>54</v>
      </c>
      <c r="E110" s="5">
        <v>16000</v>
      </c>
      <c r="F110" s="1">
        <v>1</v>
      </c>
      <c r="G110" s="4">
        <v>46099</v>
      </c>
      <c r="H110" s="4">
        <v>46104</v>
      </c>
      <c r="I110" s="4">
        <v>46107</v>
      </c>
      <c r="J110" s="4"/>
      <c r="K110" s="1" t="s">
        <v>55</v>
      </c>
      <c r="L110" s="1"/>
      <c r="M110" s="1"/>
      <c r="N110" s="1"/>
      <c r="O110" s="1"/>
      <c r="P110" s="1"/>
      <c r="Q110" s="1"/>
      <c r="R110" s="1"/>
      <c r="S110" s="1"/>
    </row>
    <row r="111" spans="1:19" ht="23" customHeight="1">
      <c r="A111" s="1" t="s">
        <v>168</v>
      </c>
      <c r="B111" s="4">
        <v>46039</v>
      </c>
      <c r="C111" s="1" t="s">
        <v>19</v>
      </c>
      <c r="D111" s="1" t="s">
        <v>54</v>
      </c>
      <c r="E111" s="5">
        <v>42000</v>
      </c>
      <c r="F111" s="1">
        <v>0</v>
      </c>
      <c r="G111" s="4">
        <v>46041</v>
      </c>
      <c r="H111" s="4">
        <v>46045</v>
      </c>
      <c r="I111" s="4">
        <v>46048</v>
      </c>
      <c r="J111" s="4"/>
      <c r="K111" s="1" t="s">
        <v>55</v>
      </c>
      <c r="L111" s="1"/>
      <c r="M111" s="1"/>
      <c r="N111" s="1"/>
      <c r="O111" s="1"/>
      <c r="P111" s="1"/>
      <c r="Q111" s="1"/>
      <c r="R111" s="1"/>
      <c r="S111" s="1"/>
    </row>
    <row r="112" spans="1:19" ht="23" customHeight="1">
      <c r="A112" s="1" t="s">
        <v>169</v>
      </c>
      <c r="B112" s="4">
        <v>46073</v>
      </c>
      <c r="C112" s="1" t="s">
        <v>19</v>
      </c>
      <c r="D112" s="1" t="s">
        <v>54</v>
      </c>
      <c r="E112" s="5">
        <v>40000</v>
      </c>
      <c r="F112" s="1">
        <v>0</v>
      </c>
      <c r="G112" s="4">
        <v>46073</v>
      </c>
      <c r="H112" s="4">
        <v>46078</v>
      </c>
      <c r="I112" s="4">
        <v>46079</v>
      </c>
      <c r="J112" s="4"/>
      <c r="K112" s="1" t="s">
        <v>55</v>
      </c>
      <c r="L112" s="1"/>
      <c r="M112" s="1"/>
      <c r="N112" s="1"/>
      <c r="O112" s="1"/>
      <c r="P112" s="1"/>
      <c r="Q112" s="1"/>
      <c r="R112" s="1"/>
      <c r="S112" s="1"/>
    </row>
    <row r="113" spans="1:19" ht="23" customHeight="1">
      <c r="A113" s="1" t="s">
        <v>170</v>
      </c>
      <c r="B113" s="4">
        <v>46023</v>
      </c>
      <c r="C113" s="1" t="s">
        <v>19</v>
      </c>
      <c r="D113" s="1" t="s">
        <v>54</v>
      </c>
      <c r="E113" s="5">
        <v>27000</v>
      </c>
      <c r="F113" s="1">
        <v>0</v>
      </c>
      <c r="G113" s="4">
        <v>46024</v>
      </c>
      <c r="H113" s="4">
        <v>46026</v>
      </c>
      <c r="I113" s="4">
        <v>46028</v>
      </c>
      <c r="J113" s="4"/>
      <c r="K113" s="1" t="s">
        <v>63</v>
      </c>
      <c r="L113" s="1"/>
      <c r="M113" s="1"/>
      <c r="N113" s="1"/>
      <c r="O113" s="1"/>
      <c r="P113" s="1"/>
      <c r="Q113" s="1"/>
      <c r="R113" s="1"/>
      <c r="S113" s="1"/>
    </row>
    <row r="114" spans="1:19" ht="23" customHeight="1">
      <c r="A114" s="1" t="s">
        <v>171</v>
      </c>
      <c r="B114" s="4">
        <v>46027</v>
      </c>
      <c r="C114" s="1" t="s">
        <v>18</v>
      </c>
      <c r="D114" s="1" t="s">
        <v>62</v>
      </c>
      <c r="E114" s="5">
        <v>35000</v>
      </c>
      <c r="F114" s="1">
        <v>1</v>
      </c>
      <c r="G114" s="4">
        <v>46034</v>
      </c>
      <c r="H114" s="4">
        <v>46042</v>
      </c>
      <c r="I114" s="4">
        <v>46045</v>
      </c>
      <c r="J114" s="4"/>
      <c r="K114" s="1" t="s">
        <v>63</v>
      </c>
      <c r="L114" s="1"/>
      <c r="M114" s="1"/>
      <c r="N114" s="1"/>
      <c r="O114" s="1"/>
      <c r="P114" s="1"/>
      <c r="Q114" s="1"/>
      <c r="R114" s="1"/>
      <c r="S114" s="1"/>
    </row>
    <row r="115" spans="1:19" ht="23" customHeight="1">
      <c r="A115" s="1" t="s">
        <v>172</v>
      </c>
      <c r="B115" s="4">
        <v>46070</v>
      </c>
      <c r="C115" s="1" t="s">
        <v>19</v>
      </c>
      <c r="D115" s="1" t="s">
        <v>54</v>
      </c>
      <c r="E115" s="5">
        <v>16000</v>
      </c>
      <c r="F115" s="1">
        <v>0</v>
      </c>
      <c r="G115" s="4">
        <v>46070</v>
      </c>
      <c r="H115" s="4">
        <v>46072</v>
      </c>
      <c r="I115" s="4">
        <v>46075</v>
      </c>
      <c r="J115" s="4"/>
      <c r="K115" s="1" t="s">
        <v>55</v>
      </c>
      <c r="L115" s="1"/>
      <c r="M115" s="1"/>
      <c r="N115" s="1"/>
      <c r="O115" s="1"/>
      <c r="P115" s="1"/>
      <c r="Q115" s="1"/>
      <c r="R115" s="1"/>
      <c r="S115" s="1"/>
    </row>
    <row r="116" spans="1:19" ht="23" customHeight="1">
      <c r="A116" s="1" t="s">
        <v>173</v>
      </c>
      <c r="B116" s="4">
        <v>46076</v>
      </c>
      <c r="C116" s="1" t="s">
        <v>19</v>
      </c>
      <c r="D116" s="1" t="s">
        <v>54</v>
      </c>
      <c r="E116" s="5">
        <v>8000</v>
      </c>
      <c r="F116" s="1">
        <v>0</v>
      </c>
      <c r="G116" s="4">
        <v>46076</v>
      </c>
      <c r="H116" s="4">
        <v>46082</v>
      </c>
      <c r="I116" s="4">
        <v>46084</v>
      </c>
      <c r="J116" s="4"/>
      <c r="K116" s="1" t="s">
        <v>55</v>
      </c>
      <c r="L116" s="1"/>
      <c r="M116" s="1"/>
      <c r="N116" s="1"/>
      <c r="O116" s="1"/>
      <c r="P116" s="1"/>
      <c r="Q116" s="1"/>
      <c r="R116" s="1"/>
      <c r="S116" s="1"/>
    </row>
    <row r="117" spans="1:19" ht="23" customHeight="1">
      <c r="A117" s="1" t="s">
        <v>174</v>
      </c>
      <c r="B117" s="4">
        <v>46067</v>
      </c>
      <c r="C117" s="1" t="s">
        <v>19</v>
      </c>
      <c r="D117" s="1" t="s">
        <v>54</v>
      </c>
      <c r="E117" s="5">
        <v>19000</v>
      </c>
      <c r="F117" s="1">
        <v>0</v>
      </c>
      <c r="G117" s="4">
        <v>46069</v>
      </c>
      <c r="H117" s="4">
        <v>46071</v>
      </c>
      <c r="I117" s="4">
        <v>46072</v>
      </c>
      <c r="J117" s="4"/>
      <c r="K117" s="1" t="s">
        <v>55</v>
      </c>
      <c r="L117" s="1"/>
      <c r="M117" s="1"/>
      <c r="N117" s="1"/>
      <c r="O117" s="1"/>
      <c r="P117" s="1"/>
      <c r="Q117" s="1"/>
      <c r="R117" s="1"/>
      <c r="S117" s="1"/>
    </row>
    <row r="118" spans="1:19" ht="23" customHeight="1">
      <c r="A118" s="1" t="s">
        <v>175</v>
      </c>
      <c r="B118" s="4">
        <v>46107</v>
      </c>
      <c r="C118" s="1" t="s">
        <v>19</v>
      </c>
      <c r="D118" s="1" t="s">
        <v>54</v>
      </c>
      <c r="E118" s="5">
        <v>41000</v>
      </c>
      <c r="F118" s="1">
        <v>1</v>
      </c>
      <c r="G118" s="4"/>
      <c r="H118" s="4"/>
      <c r="I118" s="4"/>
      <c r="J118" s="4"/>
      <c r="K118" s="1" t="s">
        <v>69</v>
      </c>
      <c r="L118" s="1"/>
      <c r="M118" s="1"/>
      <c r="N118" s="1"/>
      <c r="O118" s="1"/>
      <c r="P118" s="1"/>
      <c r="Q118" s="1"/>
      <c r="R118" s="1"/>
      <c r="S118" s="1"/>
    </row>
    <row r="119" spans="1:19" ht="23" customHeight="1">
      <c r="A119" s="1" t="s">
        <v>176</v>
      </c>
      <c r="B119" s="4">
        <v>46027</v>
      </c>
      <c r="C119" s="1" t="s">
        <v>18</v>
      </c>
      <c r="D119" s="1" t="s">
        <v>59</v>
      </c>
      <c r="E119" s="5">
        <v>30000</v>
      </c>
      <c r="F119" s="1">
        <v>0</v>
      </c>
      <c r="G119" s="4">
        <v>46027</v>
      </c>
      <c r="H119" s="4">
        <v>46033</v>
      </c>
      <c r="I119" s="4">
        <v>46036</v>
      </c>
      <c r="J119" s="4"/>
      <c r="K119" s="1" t="s">
        <v>55</v>
      </c>
      <c r="L119" s="1"/>
      <c r="M119" s="1"/>
      <c r="N119" s="1"/>
      <c r="O119" s="1"/>
      <c r="P119" s="1"/>
      <c r="Q119" s="1"/>
      <c r="R119" s="1"/>
      <c r="S119" s="1"/>
    </row>
    <row r="120" spans="1:19" ht="23" customHeight="1">
      <c r="A120" s="1" t="s">
        <v>177</v>
      </c>
      <c r="B120" s="4">
        <v>46040</v>
      </c>
      <c r="C120" s="1" t="s">
        <v>18</v>
      </c>
      <c r="D120" s="1" t="s">
        <v>71</v>
      </c>
      <c r="E120" s="5">
        <v>5000</v>
      </c>
      <c r="F120" s="1">
        <v>1</v>
      </c>
      <c r="G120" s="4">
        <v>46047</v>
      </c>
      <c r="H120" s="4">
        <v>46051</v>
      </c>
      <c r="I120" s="4">
        <v>46052</v>
      </c>
      <c r="J120" s="4"/>
      <c r="K120" s="1" t="s">
        <v>55</v>
      </c>
      <c r="L120" s="1"/>
      <c r="M120" s="1"/>
      <c r="N120" s="1"/>
      <c r="O120" s="1"/>
      <c r="P120" s="1"/>
      <c r="Q120" s="1"/>
      <c r="R120" s="1"/>
      <c r="S120" s="1"/>
    </row>
    <row r="121" spans="1:19" ht="23" customHeight="1">
      <c r="A121" s="1" t="s">
        <v>178</v>
      </c>
      <c r="B121" s="4">
        <v>46111</v>
      </c>
      <c r="C121" s="1" t="s">
        <v>19</v>
      </c>
      <c r="D121" s="1" t="s">
        <v>54</v>
      </c>
      <c r="E121" s="5">
        <v>46000</v>
      </c>
      <c r="F121" s="1">
        <v>0</v>
      </c>
      <c r="G121" s="4">
        <v>46111</v>
      </c>
      <c r="H121" s="4"/>
      <c r="I121" s="4"/>
      <c r="J121" s="4"/>
      <c r="K121" s="1" t="s">
        <v>69</v>
      </c>
      <c r="L121" s="1"/>
      <c r="M121" s="1"/>
      <c r="N121" s="1"/>
      <c r="O121" s="1"/>
      <c r="P121" s="1"/>
      <c r="Q121" s="1"/>
      <c r="R121" s="1"/>
      <c r="S121" s="1"/>
    </row>
    <row r="122" spans="1:19" ht="23" customHeight="1">
      <c r="A122" s="1" t="s">
        <v>179</v>
      </c>
      <c r="B122" s="4">
        <v>46034</v>
      </c>
      <c r="C122" s="1" t="s">
        <v>19</v>
      </c>
      <c r="D122" s="1" t="s">
        <v>54</v>
      </c>
      <c r="E122" s="5">
        <v>5000</v>
      </c>
      <c r="F122" s="1">
        <v>0</v>
      </c>
      <c r="G122" s="4">
        <v>46034</v>
      </c>
      <c r="H122" s="4">
        <v>46037</v>
      </c>
      <c r="I122" s="4">
        <v>46040</v>
      </c>
      <c r="J122" s="4"/>
      <c r="K122" s="1" t="s">
        <v>55</v>
      </c>
      <c r="L122" s="1"/>
      <c r="M122" s="1"/>
      <c r="N122" s="1"/>
      <c r="O122" s="1"/>
      <c r="P122" s="1"/>
      <c r="Q122" s="1"/>
      <c r="R122" s="1"/>
      <c r="S122" s="1"/>
    </row>
    <row r="123" spans="1:19" ht="23" customHeight="1">
      <c r="A123" s="1" t="s">
        <v>180</v>
      </c>
      <c r="B123" s="4">
        <v>46069</v>
      </c>
      <c r="C123" s="1" t="s">
        <v>18</v>
      </c>
      <c r="D123" s="1" t="s">
        <v>62</v>
      </c>
      <c r="E123" s="5">
        <v>22000</v>
      </c>
      <c r="F123" s="1">
        <v>1</v>
      </c>
      <c r="G123" s="4">
        <v>46073</v>
      </c>
      <c r="H123" s="4">
        <v>46078</v>
      </c>
      <c r="I123" s="4">
        <v>46080</v>
      </c>
      <c r="J123" s="4"/>
      <c r="K123" s="1" t="s">
        <v>63</v>
      </c>
      <c r="L123" s="1"/>
      <c r="M123" s="1"/>
      <c r="N123" s="1"/>
      <c r="O123" s="1"/>
      <c r="P123" s="1"/>
      <c r="Q123" s="1"/>
      <c r="R123" s="1"/>
      <c r="S123" s="1"/>
    </row>
    <row r="124" spans="1:19" ht="23" customHeight="1">
      <c r="A124" s="1" t="s">
        <v>181</v>
      </c>
      <c r="B124" s="4">
        <v>46026</v>
      </c>
      <c r="C124" s="1" t="s">
        <v>18</v>
      </c>
      <c r="D124" s="1" t="s">
        <v>71</v>
      </c>
      <c r="E124" s="5">
        <v>5000</v>
      </c>
      <c r="F124" s="1">
        <v>1</v>
      </c>
      <c r="G124" s="4"/>
      <c r="H124" s="4"/>
      <c r="I124" s="4"/>
      <c r="J124" s="4">
        <v>46031</v>
      </c>
      <c r="K124" s="1" t="s">
        <v>86</v>
      </c>
      <c r="L124" s="1"/>
      <c r="M124" s="1"/>
      <c r="N124" s="1"/>
      <c r="O124" s="1"/>
      <c r="P124" s="1"/>
      <c r="Q124" s="1"/>
      <c r="R124" s="1"/>
      <c r="S124" s="1"/>
    </row>
    <row r="125" spans="1:19" ht="23" customHeight="1">
      <c r="A125" s="1" t="s">
        <v>182</v>
      </c>
      <c r="B125" s="4">
        <v>46059</v>
      </c>
      <c r="C125" s="1" t="s">
        <v>19</v>
      </c>
      <c r="D125" s="1" t="s">
        <v>54</v>
      </c>
      <c r="E125" s="5">
        <v>18000</v>
      </c>
      <c r="F125" s="1">
        <v>1</v>
      </c>
      <c r="G125" s="4">
        <v>46063</v>
      </c>
      <c r="H125" s="4">
        <v>46067</v>
      </c>
      <c r="I125" s="4">
        <v>46070</v>
      </c>
      <c r="J125" s="4"/>
      <c r="K125" s="1" t="s">
        <v>63</v>
      </c>
      <c r="L125" s="1"/>
      <c r="M125" s="1"/>
      <c r="N125" s="1"/>
      <c r="O125" s="1"/>
      <c r="P125" s="1"/>
      <c r="Q125" s="1"/>
      <c r="R125" s="1"/>
      <c r="S125" s="1"/>
    </row>
    <row r="126" spans="1:19" ht="23" customHeight="1">
      <c r="A126" s="1" t="s">
        <v>183</v>
      </c>
      <c r="B126" s="4">
        <v>46062</v>
      </c>
      <c r="C126" s="1" t="s">
        <v>18</v>
      </c>
      <c r="D126" s="1" t="s">
        <v>65</v>
      </c>
      <c r="E126" s="5">
        <v>38000</v>
      </c>
      <c r="F126" s="1">
        <v>0</v>
      </c>
      <c r="G126" s="4">
        <v>46063</v>
      </c>
      <c r="H126" s="4">
        <v>46065</v>
      </c>
      <c r="I126" s="4">
        <v>46068</v>
      </c>
      <c r="J126" s="4"/>
      <c r="K126" s="1" t="s">
        <v>55</v>
      </c>
      <c r="L126" s="1"/>
      <c r="M126" s="1"/>
      <c r="N126" s="1"/>
      <c r="O126" s="1"/>
      <c r="P126" s="1"/>
      <c r="Q126" s="1"/>
      <c r="R126" s="1"/>
      <c r="S126" s="1"/>
    </row>
    <row r="127" spans="1:19" ht="23" customHeight="1">
      <c r="A127" s="1" t="s">
        <v>184</v>
      </c>
      <c r="B127" s="4">
        <v>46027</v>
      </c>
      <c r="C127" s="1" t="s">
        <v>18</v>
      </c>
      <c r="D127" s="1" t="s">
        <v>71</v>
      </c>
      <c r="E127" s="5">
        <v>29000</v>
      </c>
      <c r="F127" s="1">
        <v>0</v>
      </c>
      <c r="G127" s="4">
        <v>46027</v>
      </c>
      <c r="H127" s="4">
        <v>46031</v>
      </c>
      <c r="I127" s="4">
        <v>46034</v>
      </c>
      <c r="J127" s="4"/>
      <c r="K127" s="1" t="s">
        <v>55</v>
      </c>
      <c r="L127" s="1"/>
      <c r="M127" s="1"/>
      <c r="N127" s="1"/>
      <c r="O127" s="1"/>
      <c r="P127" s="1"/>
      <c r="Q127" s="1"/>
      <c r="R127" s="1"/>
      <c r="S127" s="1"/>
    </row>
    <row r="128" spans="1:19" ht="23" customHeight="1">
      <c r="A128" s="1" t="s">
        <v>185</v>
      </c>
      <c r="B128" s="4">
        <v>46053</v>
      </c>
      <c r="C128" s="1" t="s">
        <v>18</v>
      </c>
      <c r="D128" s="1" t="s">
        <v>62</v>
      </c>
      <c r="E128" s="5">
        <v>6000</v>
      </c>
      <c r="F128" s="1">
        <v>0</v>
      </c>
      <c r="G128" s="4">
        <v>46055</v>
      </c>
      <c r="H128" s="4">
        <v>46059</v>
      </c>
      <c r="I128" s="4">
        <v>46062</v>
      </c>
      <c r="J128" s="4"/>
      <c r="K128" s="1" t="s">
        <v>63</v>
      </c>
      <c r="L128" s="1"/>
      <c r="M128" s="1"/>
      <c r="N128" s="1"/>
      <c r="O128" s="1"/>
      <c r="P128" s="1"/>
      <c r="Q128" s="1"/>
      <c r="R128" s="1"/>
      <c r="S128" s="1"/>
    </row>
    <row r="129" spans="1:19" ht="23" customHeight="1">
      <c r="A129" s="1" t="s">
        <v>186</v>
      </c>
      <c r="B129" s="4">
        <v>46050</v>
      </c>
      <c r="C129" s="1" t="s">
        <v>19</v>
      </c>
      <c r="D129" s="1" t="s">
        <v>54</v>
      </c>
      <c r="E129" s="5">
        <v>24000</v>
      </c>
      <c r="F129" s="1">
        <v>1</v>
      </c>
      <c r="G129" s="4">
        <v>46056</v>
      </c>
      <c r="H129" s="4">
        <v>46059</v>
      </c>
      <c r="I129" s="4">
        <v>46061</v>
      </c>
      <c r="J129" s="4"/>
      <c r="K129" s="1" t="s">
        <v>55</v>
      </c>
      <c r="L129" s="1"/>
      <c r="M129" s="1"/>
      <c r="N129" s="1"/>
      <c r="O129" s="1"/>
      <c r="P129" s="1"/>
      <c r="Q129" s="1"/>
      <c r="R129" s="1"/>
      <c r="S129" s="1"/>
    </row>
    <row r="130" spans="1:19" ht="23" customHeight="1">
      <c r="A130" s="1" t="s">
        <v>187</v>
      </c>
      <c r="B130" s="4">
        <v>46025</v>
      </c>
      <c r="C130" s="1" t="s">
        <v>18</v>
      </c>
      <c r="D130" s="1" t="s">
        <v>62</v>
      </c>
      <c r="E130" s="5">
        <v>13000</v>
      </c>
      <c r="F130" s="1">
        <v>1</v>
      </c>
      <c r="G130" s="4">
        <v>46033</v>
      </c>
      <c r="H130" s="4">
        <v>46036</v>
      </c>
      <c r="I130" s="4">
        <v>46037</v>
      </c>
      <c r="J130" s="4"/>
      <c r="K130" s="1" t="s">
        <v>55</v>
      </c>
      <c r="L130" s="1"/>
      <c r="M130" s="1"/>
      <c r="N130" s="1"/>
      <c r="O130" s="1"/>
      <c r="P130" s="1"/>
      <c r="Q130" s="1"/>
      <c r="R130" s="1"/>
      <c r="S130" s="1"/>
    </row>
    <row r="131" spans="1:19" ht="23" customHeight="1">
      <c r="A131" s="1" t="s">
        <v>188</v>
      </c>
      <c r="B131" s="4">
        <v>46105</v>
      </c>
      <c r="C131" s="1" t="s">
        <v>19</v>
      </c>
      <c r="D131" s="1" t="s">
        <v>54</v>
      </c>
      <c r="E131" s="5">
        <v>38000</v>
      </c>
      <c r="F131" s="1">
        <v>0</v>
      </c>
      <c r="G131" s="4">
        <v>46105</v>
      </c>
      <c r="H131" s="4">
        <v>46111</v>
      </c>
      <c r="I131" s="4">
        <v>46112</v>
      </c>
      <c r="J131" s="4"/>
      <c r="K131" s="1" t="s">
        <v>55</v>
      </c>
      <c r="L131" s="1"/>
      <c r="M131" s="1"/>
      <c r="N131" s="1"/>
      <c r="O131" s="1"/>
      <c r="P131" s="1"/>
      <c r="Q131" s="1"/>
      <c r="R131" s="1"/>
      <c r="S131" s="1"/>
    </row>
    <row r="132" spans="1:19" ht="23" customHeight="1">
      <c r="A132" s="1" t="s">
        <v>189</v>
      </c>
      <c r="B132" s="4">
        <v>46077</v>
      </c>
      <c r="C132" s="1" t="s">
        <v>18</v>
      </c>
      <c r="D132" s="1" t="s">
        <v>62</v>
      </c>
      <c r="E132" s="5">
        <v>38000</v>
      </c>
      <c r="F132" s="1">
        <v>0</v>
      </c>
      <c r="G132" s="4">
        <v>46079</v>
      </c>
      <c r="H132" s="4">
        <v>46084</v>
      </c>
      <c r="I132" s="4">
        <v>46087</v>
      </c>
      <c r="J132" s="4"/>
      <c r="K132" s="1" t="s">
        <v>55</v>
      </c>
      <c r="L132" s="1"/>
      <c r="M132" s="1"/>
      <c r="N132" s="1"/>
      <c r="O132" s="1"/>
      <c r="P132" s="1"/>
      <c r="Q132" s="1"/>
      <c r="R132" s="1"/>
      <c r="S132" s="1"/>
    </row>
    <row r="133" spans="1:19" ht="23" customHeight="1">
      <c r="A133" s="1" t="s">
        <v>190</v>
      </c>
      <c r="B133" s="4">
        <v>46063</v>
      </c>
      <c r="C133" s="1" t="s">
        <v>19</v>
      </c>
      <c r="D133" s="1" t="s">
        <v>54</v>
      </c>
      <c r="E133" s="5">
        <v>17000</v>
      </c>
      <c r="F133" s="1">
        <v>0</v>
      </c>
      <c r="G133" s="4">
        <v>46064</v>
      </c>
      <c r="H133" s="4">
        <v>46068</v>
      </c>
      <c r="I133" s="4">
        <v>46070</v>
      </c>
      <c r="J133" s="4"/>
      <c r="K133" s="1" t="s">
        <v>55</v>
      </c>
      <c r="L133" s="1"/>
      <c r="M133" s="1"/>
      <c r="N133" s="1"/>
      <c r="O133" s="1"/>
      <c r="P133" s="1"/>
      <c r="Q133" s="1"/>
      <c r="R133" s="1"/>
      <c r="S133" s="1"/>
    </row>
    <row r="134" spans="1:19" ht="23" customHeight="1">
      <c r="A134" s="1" t="s">
        <v>191</v>
      </c>
      <c r="B134" s="4">
        <v>46087</v>
      </c>
      <c r="C134" s="1" t="s">
        <v>18</v>
      </c>
      <c r="D134" s="1" t="s">
        <v>65</v>
      </c>
      <c r="E134" s="5">
        <v>42000</v>
      </c>
      <c r="F134" s="1">
        <v>0</v>
      </c>
      <c r="G134" s="4">
        <v>46088</v>
      </c>
      <c r="H134" s="4">
        <v>46092</v>
      </c>
      <c r="I134" s="4">
        <v>46094</v>
      </c>
      <c r="J134" s="4"/>
      <c r="K134" s="1" t="s">
        <v>55</v>
      </c>
      <c r="L134" s="1"/>
      <c r="M134" s="1"/>
      <c r="N134" s="1"/>
      <c r="O134" s="1"/>
      <c r="P134" s="1"/>
      <c r="Q134" s="1"/>
      <c r="R134" s="1"/>
      <c r="S134" s="1"/>
    </row>
    <row r="135" spans="1:19" ht="23" customHeight="1">
      <c r="A135" s="1" t="s">
        <v>192</v>
      </c>
      <c r="B135" s="4">
        <v>46058</v>
      </c>
      <c r="C135" s="1" t="s">
        <v>18</v>
      </c>
      <c r="D135" s="1" t="s">
        <v>62</v>
      </c>
      <c r="E135" s="5">
        <v>28000</v>
      </c>
      <c r="F135" s="1">
        <v>1</v>
      </c>
      <c r="G135" s="4">
        <v>46066</v>
      </c>
      <c r="H135" s="4">
        <v>46072</v>
      </c>
      <c r="I135" s="4">
        <v>46073</v>
      </c>
      <c r="J135" s="4"/>
      <c r="K135" s="1" t="s">
        <v>63</v>
      </c>
      <c r="L135" s="1"/>
      <c r="M135" s="1"/>
      <c r="N135" s="1"/>
      <c r="O135" s="1"/>
      <c r="P135" s="1"/>
      <c r="Q135" s="1"/>
      <c r="R135" s="1"/>
      <c r="S135" s="1"/>
    </row>
    <row r="136" spans="1:19" ht="23" customHeight="1">
      <c r="A136" s="1" t="s">
        <v>193</v>
      </c>
      <c r="B136" s="4">
        <v>46066</v>
      </c>
      <c r="C136" s="1" t="s">
        <v>19</v>
      </c>
      <c r="D136" s="1" t="s">
        <v>54</v>
      </c>
      <c r="E136" s="5">
        <v>17000</v>
      </c>
      <c r="F136" s="1">
        <v>0</v>
      </c>
      <c r="G136" s="4">
        <v>46068</v>
      </c>
      <c r="H136" s="4">
        <v>46070</v>
      </c>
      <c r="I136" s="4">
        <v>46071</v>
      </c>
      <c r="J136" s="4"/>
      <c r="K136" s="1" t="s">
        <v>55</v>
      </c>
      <c r="L136" s="1"/>
      <c r="M136" s="1"/>
      <c r="N136" s="1"/>
      <c r="O136" s="1"/>
      <c r="P136" s="1"/>
      <c r="Q136" s="1"/>
      <c r="R136" s="1"/>
      <c r="S136" s="1"/>
    </row>
    <row r="137" spans="1:19" ht="23" customHeight="1">
      <c r="A137" s="1" t="s">
        <v>194</v>
      </c>
      <c r="B137" s="4">
        <v>46110</v>
      </c>
      <c r="C137" s="1" t="s">
        <v>18</v>
      </c>
      <c r="D137" s="1" t="s">
        <v>59</v>
      </c>
      <c r="E137" s="5">
        <v>12000</v>
      </c>
      <c r="F137" s="1">
        <v>0</v>
      </c>
      <c r="G137" s="4">
        <v>46111</v>
      </c>
      <c r="H137" s="4"/>
      <c r="I137" s="4"/>
      <c r="J137" s="4"/>
      <c r="K137" s="1" t="s">
        <v>69</v>
      </c>
      <c r="L137" s="1"/>
      <c r="M137" s="1"/>
      <c r="N137" s="1"/>
      <c r="O137" s="1"/>
      <c r="P137" s="1"/>
      <c r="Q137" s="1"/>
      <c r="R137" s="1"/>
      <c r="S137" s="1"/>
    </row>
    <row r="138" spans="1:19" ht="23" customHeight="1">
      <c r="A138" s="1" t="s">
        <v>195</v>
      </c>
      <c r="B138" s="4">
        <v>46061</v>
      </c>
      <c r="C138" s="1" t="s">
        <v>18</v>
      </c>
      <c r="D138" s="1" t="s">
        <v>62</v>
      </c>
      <c r="E138" s="5">
        <v>17000</v>
      </c>
      <c r="F138" s="1">
        <v>0</v>
      </c>
      <c r="G138" s="4">
        <v>46062</v>
      </c>
      <c r="H138" s="4">
        <v>46069</v>
      </c>
      <c r="I138" s="4">
        <v>46071</v>
      </c>
      <c r="J138" s="4"/>
      <c r="K138" s="1" t="s">
        <v>55</v>
      </c>
      <c r="L138" s="1"/>
      <c r="M138" s="1"/>
      <c r="N138" s="1"/>
      <c r="O138" s="1"/>
      <c r="P138" s="1"/>
      <c r="Q138" s="1"/>
      <c r="R138" s="1"/>
      <c r="S138" s="1"/>
    </row>
    <row r="139" spans="1:19" ht="23" customHeight="1">
      <c r="A139" s="1" t="s">
        <v>196</v>
      </c>
      <c r="B139" s="4">
        <v>46055</v>
      </c>
      <c r="C139" s="1" t="s">
        <v>19</v>
      </c>
      <c r="D139" s="1" t="s">
        <v>54</v>
      </c>
      <c r="E139" s="5">
        <v>37000</v>
      </c>
      <c r="F139" s="1">
        <v>0</v>
      </c>
      <c r="G139" s="4">
        <v>46055</v>
      </c>
      <c r="H139" s="4">
        <v>46061</v>
      </c>
      <c r="I139" s="4">
        <v>46063</v>
      </c>
      <c r="J139" s="4"/>
      <c r="K139" s="1" t="s">
        <v>55</v>
      </c>
      <c r="L139" s="1"/>
      <c r="M139" s="1"/>
      <c r="N139" s="1"/>
      <c r="O139" s="1"/>
      <c r="P139" s="1"/>
      <c r="Q139" s="1"/>
      <c r="R139" s="1"/>
      <c r="S139" s="1"/>
    </row>
    <row r="140" spans="1:19" ht="23" customHeight="1">
      <c r="A140" s="1" t="s">
        <v>197</v>
      </c>
      <c r="B140" s="4">
        <v>46044</v>
      </c>
      <c r="C140" s="1" t="s">
        <v>19</v>
      </c>
      <c r="D140" s="1" t="s">
        <v>54</v>
      </c>
      <c r="E140" s="5">
        <v>10000</v>
      </c>
      <c r="F140" s="1">
        <v>0</v>
      </c>
      <c r="G140" s="4">
        <v>46044</v>
      </c>
      <c r="H140" s="4">
        <v>46049</v>
      </c>
      <c r="I140" s="4">
        <v>46052</v>
      </c>
      <c r="J140" s="4"/>
      <c r="K140" s="1" t="s">
        <v>55</v>
      </c>
      <c r="L140" s="1"/>
      <c r="M140" s="1"/>
      <c r="N140" s="1"/>
      <c r="O140" s="1"/>
      <c r="P140" s="1"/>
      <c r="Q140" s="1"/>
      <c r="R140" s="1"/>
      <c r="S140" s="1"/>
    </row>
    <row r="141" spans="1:19" ht="23" customHeight="1">
      <c r="A141" s="1" t="s">
        <v>198</v>
      </c>
      <c r="B141" s="4">
        <v>46081</v>
      </c>
      <c r="C141" s="1" t="s">
        <v>19</v>
      </c>
      <c r="D141" s="1" t="s">
        <v>54</v>
      </c>
      <c r="E141" s="5">
        <v>18000</v>
      </c>
      <c r="F141" s="1">
        <v>0</v>
      </c>
      <c r="G141" s="4">
        <v>46082</v>
      </c>
      <c r="H141" s="4">
        <v>46083</v>
      </c>
      <c r="I141" s="4">
        <v>46086</v>
      </c>
      <c r="J141" s="4"/>
      <c r="K141" s="1" t="s">
        <v>55</v>
      </c>
      <c r="L141" s="1"/>
      <c r="M141" s="1"/>
      <c r="N141" s="1"/>
      <c r="O141" s="1"/>
      <c r="P141" s="1"/>
      <c r="Q141" s="1"/>
      <c r="R141" s="1"/>
      <c r="S141" s="1"/>
    </row>
    <row r="142" spans="1:19" ht="23" customHeight="1">
      <c r="A142" s="1" t="s">
        <v>199</v>
      </c>
      <c r="B142" s="4">
        <v>46071</v>
      </c>
      <c r="C142" s="1" t="s">
        <v>18</v>
      </c>
      <c r="D142" s="1" t="s">
        <v>71</v>
      </c>
      <c r="E142" s="5">
        <v>36000</v>
      </c>
      <c r="F142" s="1">
        <v>1</v>
      </c>
      <c r="G142" s="4"/>
      <c r="H142" s="4"/>
      <c r="I142" s="4"/>
      <c r="J142" s="4">
        <v>46075</v>
      </c>
      <c r="K142" s="1" t="s">
        <v>86</v>
      </c>
      <c r="L142" s="1"/>
      <c r="M142" s="1"/>
      <c r="N142" s="1"/>
      <c r="O142" s="1"/>
      <c r="P142" s="1"/>
      <c r="Q142" s="1"/>
      <c r="R142" s="1"/>
      <c r="S142" s="1"/>
    </row>
    <row r="143" spans="1:19" ht="23" customHeight="1">
      <c r="A143" s="1" t="s">
        <v>200</v>
      </c>
      <c r="B143" s="4">
        <v>46088</v>
      </c>
      <c r="C143" s="1" t="s">
        <v>18</v>
      </c>
      <c r="D143" s="1" t="s">
        <v>71</v>
      </c>
      <c r="E143" s="5">
        <v>18000</v>
      </c>
      <c r="F143" s="1">
        <v>0</v>
      </c>
      <c r="G143" s="4">
        <v>46090</v>
      </c>
      <c r="H143" s="4">
        <v>46092</v>
      </c>
      <c r="I143" s="4">
        <v>46094</v>
      </c>
      <c r="J143" s="4"/>
      <c r="K143" s="1" t="s">
        <v>55</v>
      </c>
      <c r="L143" s="1"/>
      <c r="M143" s="1"/>
      <c r="N143" s="1"/>
      <c r="O143" s="1"/>
      <c r="P143" s="1"/>
      <c r="Q143" s="1"/>
      <c r="R143" s="1"/>
      <c r="S143" s="1"/>
    </row>
    <row r="144" spans="1:19" ht="23" customHeight="1">
      <c r="A144" s="1" t="s">
        <v>201</v>
      </c>
      <c r="B144" s="4">
        <v>46032</v>
      </c>
      <c r="C144" s="1" t="s">
        <v>18</v>
      </c>
      <c r="D144" s="1" t="s">
        <v>62</v>
      </c>
      <c r="E144" s="5">
        <v>45000</v>
      </c>
      <c r="F144" s="1">
        <v>1</v>
      </c>
      <c r="G144" s="4">
        <v>46042</v>
      </c>
      <c r="H144" s="4">
        <v>46046</v>
      </c>
      <c r="I144" s="4">
        <v>46049</v>
      </c>
      <c r="J144" s="4"/>
      <c r="K144" s="1" t="s">
        <v>63</v>
      </c>
      <c r="L144" s="1"/>
      <c r="M144" s="1"/>
      <c r="N144" s="1"/>
      <c r="O144" s="1"/>
      <c r="P144" s="1"/>
      <c r="Q144" s="1"/>
      <c r="R144" s="1"/>
      <c r="S144" s="1"/>
    </row>
    <row r="145" spans="1:19" ht="23" customHeight="1">
      <c r="A145" s="1" t="s">
        <v>202</v>
      </c>
      <c r="B145" s="4">
        <v>46087</v>
      </c>
      <c r="C145" s="1" t="s">
        <v>18</v>
      </c>
      <c r="D145" s="1" t="s">
        <v>59</v>
      </c>
      <c r="E145" s="5">
        <v>38000</v>
      </c>
      <c r="F145" s="1">
        <v>1</v>
      </c>
      <c r="G145" s="4">
        <v>46091</v>
      </c>
      <c r="H145" s="4">
        <v>46095</v>
      </c>
      <c r="I145" s="4">
        <v>46098</v>
      </c>
      <c r="J145" s="4"/>
      <c r="K145" s="1" t="s">
        <v>55</v>
      </c>
      <c r="L145" s="1"/>
      <c r="M145" s="1"/>
      <c r="N145" s="1"/>
      <c r="O145" s="1"/>
      <c r="P145" s="1"/>
      <c r="Q145" s="1"/>
      <c r="R145" s="1"/>
      <c r="S145" s="1"/>
    </row>
    <row r="146" spans="1:19" ht="23" customHeight="1">
      <c r="A146" s="1" t="s">
        <v>203</v>
      </c>
      <c r="B146" s="4">
        <v>46086</v>
      </c>
      <c r="C146" s="1" t="s">
        <v>18</v>
      </c>
      <c r="D146" s="1" t="s">
        <v>62</v>
      </c>
      <c r="E146" s="5">
        <v>28000</v>
      </c>
      <c r="F146" s="1">
        <v>0</v>
      </c>
      <c r="G146" s="4">
        <v>46088</v>
      </c>
      <c r="H146" s="4">
        <v>46096</v>
      </c>
      <c r="I146" s="4">
        <v>46098</v>
      </c>
      <c r="J146" s="4"/>
      <c r="K146" s="1" t="s">
        <v>55</v>
      </c>
      <c r="L146" s="1"/>
      <c r="M146" s="1"/>
      <c r="N146" s="1"/>
      <c r="O146" s="1"/>
      <c r="P146" s="1"/>
      <c r="Q146" s="1"/>
      <c r="R146" s="1"/>
      <c r="S146" s="1"/>
    </row>
    <row r="147" spans="1:19" ht="23" customHeight="1">
      <c r="A147" s="1" t="s">
        <v>204</v>
      </c>
      <c r="B147" s="4">
        <v>46094</v>
      </c>
      <c r="C147" s="1" t="s">
        <v>18</v>
      </c>
      <c r="D147" s="1" t="s">
        <v>65</v>
      </c>
      <c r="E147" s="5">
        <v>13000</v>
      </c>
      <c r="F147" s="1">
        <v>0</v>
      </c>
      <c r="G147" s="4">
        <v>46094</v>
      </c>
      <c r="H147" s="4">
        <v>46099</v>
      </c>
      <c r="I147" s="4">
        <v>46100</v>
      </c>
      <c r="J147" s="4"/>
      <c r="K147" s="1" t="s">
        <v>55</v>
      </c>
      <c r="L147" s="1"/>
      <c r="M147" s="1"/>
      <c r="N147" s="1"/>
      <c r="O147" s="1"/>
      <c r="P147" s="1"/>
      <c r="Q147" s="1"/>
      <c r="R147" s="1"/>
      <c r="S147" s="1"/>
    </row>
    <row r="148" spans="1:19" ht="23" customHeight="1">
      <c r="A148" s="1" t="s">
        <v>205</v>
      </c>
      <c r="B148" s="4">
        <v>46050</v>
      </c>
      <c r="C148" s="1" t="s">
        <v>18</v>
      </c>
      <c r="D148" s="1" t="s">
        <v>71</v>
      </c>
      <c r="E148" s="5">
        <v>44000</v>
      </c>
      <c r="F148" s="1">
        <v>0</v>
      </c>
      <c r="G148" s="4">
        <v>46050</v>
      </c>
      <c r="H148" s="4">
        <v>46055</v>
      </c>
      <c r="I148" s="4">
        <v>46058</v>
      </c>
      <c r="J148" s="4"/>
      <c r="K148" s="1" t="s">
        <v>63</v>
      </c>
      <c r="L148" s="1"/>
      <c r="M148" s="1"/>
      <c r="N148" s="1"/>
      <c r="O148" s="1"/>
      <c r="P148" s="1"/>
      <c r="Q148" s="1"/>
      <c r="R148" s="1"/>
      <c r="S148" s="1"/>
    </row>
    <row r="149" spans="1:19" ht="23" customHeight="1">
      <c r="A149" s="1" t="s">
        <v>206</v>
      </c>
      <c r="B149" s="4">
        <v>46047</v>
      </c>
      <c r="C149" s="1" t="s">
        <v>18</v>
      </c>
      <c r="D149" s="1" t="s">
        <v>65</v>
      </c>
      <c r="E149" s="5">
        <v>19000</v>
      </c>
      <c r="F149" s="1">
        <v>0</v>
      </c>
      <c r="G149" s="4">
        <v>46048</v>
      </c>
      <c r="H149" s="4">
        <v>46051</v>
      </c>
      <c r="I149" s="4">
        <v>46052</v>
      </c>
      <c r="J149" s="4"/>
      <c r="K149" s="1" t="s">
        <v>55</v>
      </c>
      <c r="L149" s="1"/>
      <c r="M149" s="1"/>
      <c r="N149" s="1"/>
      <c r="O149" s="1"/>
      <c r="P149" s="1"/>
      <c r="Q149" s="1"/>
      <c r="R149" s="1"/>
      <c r="S149" s="1"/>
    </row>
    <row r="150" spans="1:19" ht="23" customHeight="1">
      <c r="A150" s="1" t="s">
        <v>207</v>
      </c>
      <c r="B150" s="4">
        <v>46032</v>
      </c>
      <c r="C150" s="1" t="s">
        <v>19</v>
      </c>
      <c r="D150" s="1" t="s">
        <v>54</v>
      </c>
      <c r="E150" s="5">
        <v>6000</v>
      </c>
      <c r="F150" s="1">
        <v>1</v>
      </c>
      <c r="G150" s="4">
        <v>46036</v>
      </c>
      <c r="H150" s="4">
        <v>46041</v>
      </c>
      <c r="I150" s="4">
        <v>46042</v>
      </c>
      <c r="J150" s="4"/>
      <c r="K150" s="1" t="s">
        <v>55</v>
      </c>
      <c r="L150" s="1"/>
      <c r="M150" s="1"/>
      <c r="N150" s="1"/>
      <c r="O150" s="1"/>
      <c r="P150" s="1"/>
      <c r="Q150" s="1"/>
      <c r="R150" s="1"/>
      <c r="S150" s="1"/>
    </row>
    <row r="151" spans="1:19" ht="23" customHeight="1">
      <c r="A151" s="1" t="s">
        <v>208</v>
      </c>
      <c r="B151" s="4">
        <v>46063</v>
      </c>
      <c r="C151" s="1" t="s">
        <v>19</v>
      </c>
      <c r="D151" s="1" t="s">
        <v>54</v>
      </c>
      <c r="E151" s="5">
        <v>23000</v>
      </c>
      <c r="F151" s="1">
        <v>1</v>
      </c>
      <c r="G151" s="4">
        <v>46072</v>
      </c>
      <c r="H151" s="4">
        <v>46077</v>
      </c>
      <c r="I151" s="4">
        <v>46078</v>
      </c>
      <c r="J151" s="4"/>
      <c r="K151" s="1" t="s">
        <v>55</v>
      </c>
      <c r="L151" s="1"/>
      <c r="M151" s="1"/>
      <c r="N151" s="1"/>
      <c r="O151" s="1"/>
      <c r="P151" s="1"/>
      <c r="Q151" s="1"/>
      <c r="R151" s="1"/>
      <c r="S151" s="1"/>
    </row>
    <row r="152" spans="1:19" ht="23" customHeight="1">
      <c r="A152" s="1" t="s">
        <v>209</v>
      </c>
      <c r="B152" s="4">
        <v>46040</v>
      </c>
      <c r="C152" s="1" t="s">
        <v>18</v>
      </c>
      <c r="D152" s="1" t="s">
        <v>62</v>
      </c>
      <c r="E152" s="5">
        <v>29000</v>
      </c>
      <c r="F152" s="1">
        <v>0</v>
      </c>
      <c r="G152" s="4">
        <v>46040</v>
      </c>
      <c r="H152" s="4">
        <v>46047</v>
      </c>
      <c r="I152" s="4">
        <v>46048</v>
      </c>
      <c r="J152" s="4"/>
      <c r="K152" s="1" t="s">
        <v>55</v>
      </c>
      <c r="L152" s="1"/>
      <c r="M152" s="1"/>
      <c r="N152" s="1"/>
      <c r="O152" s="1"/>
      <c r="P152" s="1"/>
      <c r="Q152" s="1"/>
      <c r="R152" s="1"/>
      <c r="S152" s="1"/>
    </row>
    <row r="153" spans="1:19" ht="23" customHeight="1">
      <c r="A153" s="1" t="s">
        <v>210</v>
      </c>
      <c r="B153" s="4">
        <v>46074</v>
      </c>
      <c r="C153" s="1" t="s">
        <v>18</v>
      </c>
      <c r="D153" s="1" t="s">
        <v>65</v>
      </c>
      <c r="E153" s="5">
        <v>35000</v>
      </c>
      <c r="F153" s="1">
        <v>0</v>
      </c>
      <c r="G153" s="4">
        <v>46075</v>
      </c>
      <c r="H153" s="4">
        <v>46079</v>
      </c>
      <c r="I153" s="4">
        <v>46080</v>
      </c>
      <c r="J153" s="4"/>
      <c r="K153" s="1" t="s">
        <v>55</v>
      </c>
      <c r="L153" s="1"/>
      <c r="M153" s="1"/>
      <c r="N153" s="1"/>
      <c r="O153" s="1"/>
      <c r="P153" s="1"/>
      <c r="Q153" s="1"/>
      <c r="R153" s="1"/>
      <c r="S153" s="1"/>
    </row>
    <row r="154" spans="1:19" ht="23" customHeight="1">
      <c r="A154" s="1" t="s">
        <v>211</v>
      </c>
      <c r="B154" s="4">
        <v>46077</v>
      </c>
      <c r="C154" s="1" t="s">
        <v>19</v>
      </c>
      <c r="D154" s="1" t="s">
        <v>54</v>
      </c>
      <c r="E154" s="5">
        <v>16000</v>
      </c>
      <c r="F154" s="1">
        <v>1</v>
      </c>
      <c r="G154" s="4">
        <v>46085</v>
      </c>
      <c r="H154" s="4">
        <v>46091</v>
      </c>
      <c r="I154" s="4">
        <v>46093</v>
      </c>
      <c r="J154" s="4"/>
      <c r="K154" s="1" t="s">
        <v>63</v>
      </c>
      <c r="L154" s="1"/>
      <c r="M154" s="1"/>
      <c r="N154" s="1"/>
      <c r="O154" s="1"/>
      <c r="P154" s="1"/>
      <c r="Q154" s="1"/>
      <c r="R154" s="1"/>
      <c r="S154" s="1"/>
    </row>
    <row r="155" spans="1:19" ht="23" customHeight="1">
      <c r="A155" s="1" t="s">
        <v>212</v>
      </c>
      <c r="B155" s="4">
        <v>46083</v>
      </c>
      <c r="C155" s="1" t="s">
        <v>19</v>
      </c>
      <c r="D155" s="1" t="s">
        <v>54</v>
      </c>
      <c r="E155" s="5">
        <v>6000</v>
      </c>
      <c r="F155" s="1">
        <v>0</v>
      </c>
      <c r="G155" s="4">
        <v>46085</v>
      </c>
      <c r="H155" s="4">
        <v>46086</v>
      </c>
      <c r="I155" s="4">
        <v>46087</v>
      </c>
      <c r="J155" s="4"/>
      <c r="K155" s="1" t="s">
        <v>63</v>
      </c>
      <c r="L155" s="1"/>
      <c r="M155" s="1"/>
      <c r="N155" s="1"/>
      <c r="O155" s="1"/>
      <c r="P155" s="1"/>
      <c r="Q155" s="1"/>
      <c r="R155" s="1"/>
      <c r="S155" s="1"/>
    </row>
    <row r="156" spans="1:19" ht="23" customHeight="1">
      <c r="A156" s="1" t="s">
        <v>213</v>
      </c>
      <c r="B156" s="4">
        <v>46053</v>
      </c>
      <c r="C156" s="1" t="s">
        <v>18</v>
      </c>
      <c r="D156" s="1" t="s">
        <v>65</v>
      </c>
      <c r="E156" s="5">
        <v>35000</v>
      </c>
      <c r="F156" s="1">
        <v>0</v>
      </c>
      <c r="G156" s="4">
        <v>46055</v>
      </c>
      <c r="H156" s="4">
        <v>46060</v>
      </c>
      <c r="I156" s="4">
        <v>46061</v>
      </c>
      <c r="J156" s="4"/>
      <c r="K156" s="1" t="s">
        <v>55</v>
      </c>
      <c r="L156" s="1"/>
      <c r="M156" s="1"/>
      <c r="N156" s="1"/>
      <c r="O156" s="1"/>
      <c r="P156" s="1"/>
      <c r="Q156" s="1"/>
      <c r="R156" s="1"/>
      <c r="S156" s="1"/>
    </row>
    <row r="157" spans="1:19" ht="23" customHeight="1">
      <c r="A157" s="1" t="s">
        <v>214</v>
      </c>
      <c r="B157" s="4">
        <v>46054</v>
      </c>
      <c r="C157" s="1" t="s">
        <v>19</v>
      </c>
      <c r="D157" s="1" t="s">
        <v>54</v>
      </c>
      <c r="E157" s="5">
        <v>10000</v>
      </c>
      <c r="F157" s="1">
        <v>1</v>
      </c>
      <c r="G157" s="4"/>
      <c r="H157" s="4"/>
      <c r="I157" s="4"/>
      <c r="J157" s="4">
        <v>46061</v>
      </c>
      <c r="K157" s="1" t="s">
        <v>86</v>
      </c>
      <c r="L157" s="1"/>
      <c r="M157" s="1"/>
      <c r="N157" s="1"/>
      <c r="O157" s="1"/>
      <c r="P157" s="1"/>
      <c r="Q157" s="1"/>
      <c r="R157" s="1"/>
      <c r="S157" s="1"/>
    </row>
    <row r="158" spans="1:19" ht="23" customHeight="1">
      <c r="A158" s="1" t="s">
        <v>215</v>
      </c>
      <c r="B158" s="4">
        <v>46042</v>
      </c>
      <c r="C158" s="1" t="s">
        <v>18</v>
      </c>
      <c r="D158" s="1" t="s">
        <v>65</v>
      </c>
      <c r="E158" s="5">
        <v>30000</v>
      </c>
      <c r="F158" s="1">
        <v>0</v>
      </c>
      <c r="G158" s="4">
        <v>46044</v>
      </c>
      <c r="H158" s="4">
        <v>46050</v>
      </c>
      <c r="I158" s="4">
        <v>46053</v>
      </c>
      <c r="J158" s="4"/>
      <c r="K158" s="1" t="s">
        <v>55</v>
      </c>
      <c r="L158" s="1"/>
      <c r="M158" s="1"/>
      <c r="N158" s="1"/>
      <c r="O158" s="1"/>
      <c r="P158" s="1"/>
      <c r="Q158" s="1"/>
      <c r="R158" s="1"/>
      <c r="S158" s="1"/>
    </row>
    <row r="159" spans="1:19" ht="23" customHeight="1">
      <c r="A159" s="1" t="s">
        <v>216</v>
      </c>
      <c r="B159" s="4">
        <v>46035</v>
      </c>
      <c r="C159" s="1" t="s">
        <v>19</v>
      </c>
      <c r="D159" s="1" t="s">
        <v>54</v>
      </c>
      <c r="E159" s="5">
        <v>46000</v>
      </c>
      <c r="F159" s="1">
        <v>1</v>
      </c>
      <c r="G159" s="4">
        <v>46043</v>
      </c>
      <c r="H159" s="4">
        <v>46047</v>
      </c>
      <c r="I159" s="4">
        <v>46049</v>
      </c>
      <c r="J159" s="4"/>
      <c r="K159" s="1" t="s">
        <v>55</v>
      </c>
      <c r="L159" s="1"/>
      <c r="M159" s="1"/>
      <c r="N159" s="1"/>
      <c r="O159" s="1"/>
      <c r="P159" s="1"/>
      <c r="Q159" s="1"/>
      <c r="R159" s="1"/>
      <c r="S159" s="1"/>
    </row>
    <row r="160" spans="1:19" ht="23" customHeight="1">
      <c r="A160" s="1" t="s">
        <v>217</v>
      </c>
      <c r="B160" s="4">
        <v>46102</v>
      </c>
      <c r="C160" s="1" t="s">
        <v>19</v>
      </c>
      <c r="D160" s="1" t="s">
        <v>54</v>
      </c>
      <c r="E160" s="5">
        <v>34000</v>
      </c>
      <c r="F160" s="1">
        <v>1</v>
      </c>
      <c r="G160" s="4">
        <v>46106</v>
      </c>
      <c r="H160" s="4">
        <v>46109</v>
      </c>
      <c r="I160" s="4">
        <v>46110</v>
      </c>
      <c r="J160" s="4"/>
      <c r="K160" s="1" t="s">
        <v>55</v>
      </c>
      <c r="L160" s="1"/>
      <c r="M160" s="1"/>
      <c r="N160" s="1"/>
      <c r="O160" s="1"/>
      <c r="P160" s="1"/>
      <c r="Q160" s="1"/>
      <c r="R160" s="1"/>
      <c r="S160" s="1"/>
    </row>
    <row r="161" spans="1:19" ht="23" customHeight="1">
      <c r="A161" s="1" t="s">
        <v>218</v>
      </c>
      <c r="B161" s="4">
        <v>46066</v>
      </c>
      <c r="C161" s="1" t="s">
        <v>18</v>
      </c>
      <c r="D161" s="1" t="s">
        <v>71</v>
      </c>
      <c r="E161" s="5">
        <v>14000</v>
      </c>
      <c r="F161" s="1">
        <v>1</v>
      </c>
      <c r="G161" s="4">
        <v>46073</v>
      </c>
      <c r="H161" s="4">
        <v>46078</v>
      </c>
      <c r="I161" s="4">
        <v>46079</v>
      </c>
      <c r="J161" s="4"/>
      <c r="K161" s="1" t="s">
        <v>55</v>
      </c>
      <c r="L161" s="1"/>
      <c r="M161" s="1"/>
      <c r="N161" s="1"/>
      <c r="O161" s="1"/>
      <c r="P161" s="1"/>
      <c r="Q161" s="1"/>
      <c r="R161" s="1"/>
      <c r="S161" s="1"/>
    </row>
    <row r="162" spans="1:19" ht="23" customHeight="1">
      <c r="A162" s="1" t="s">
        <v>219</v>
      </c>
      <c r="B162" s="4">
        <v>46044</v>
      </c>
      <c r="C162" s="1" t="s">
        <v>19</v>
      </c>
      <c r="D162" s="1" t="s">
        <v>54</v>
      </c>
      <c r="E162" s="5">
        <v>31000</v>
      </c>
      <c r="F162" s="1">
        <v>0</v>
      </c>
      <c r="G162" s="4">
        <v>46045</v>
      </c>
      <c r="H162" s="4">
        <v>46047</v>
      </c>
      <c r="I162" s="4">
        <v>46048</v>
      </c>
      <c r="J162" s="4"/>
      <c r="K162" s="1" t="s">
        <v>55</v>
      </c>
      <c r="L162" s="1"/>
      <c r="M162" s="1"/>
      <c r="N162" s="1"/>
      <c r="O162" s="1"/>
      <c r="P162" s="1"/>
      <c r="Q162" s="1"/>
      <c r="R162" s="1"/>
      <c r="S162" s="1"/>
    </row>
    <row r="163" spans="1:19" ht="23" customHeight="1">
      <c r="A163" s="1" t="s">
        <v>220</v>
      </c>
      <c r="B163" s="4">
        <v>46033</v>
      </c>
      <c r="C163" s="1" t="s">
        <v>19</v>
      </c>
      <c r="D163" s="1" t="s">
        <v>54</v>
      </c>
      <c r="E163" s="5">
        <v>38000</v>
      </c>
      <c r="F163" s="1">
        <v>0</v>
      </c>
      <c r="G163" s="4">
        <v>46034</v>
      </c>
      <c r="H163" s="4">
        <v>46037</v>
      </c>
      <c r="I163" s="4">
        <v>46038</v>
      </c>
      <c r="J163" s="4"/>
      <c r="K163" s="1" t="s">
        <v>55</v>
      </c>
      <c r="L163" s="1"/>
      <c r="M163" s="1"/>
      <c r="N163" s="1"/>
      <c r="O163" s="1"/>
      <c r="P163" s="1"/>
      <c r="Q163" s="1"/>
      <c r="R163" s="1"/>
      <c r="S163" s="1"/>
    </row>
    <row r="164" spans="1:19" ht="23" customHeight="1">
      <c r="A164" s="1" t="s">
        <v>221</v>
      </c>
      <c r="B164" s="4">
        <v>46037</v>
      </c>
      <c r="C164" s="1" t="s">
        <v>19</v>
      </c>
      <c r="D164" s="1" t="s">
        <v>54</v>
      </c>
      <c r="E164" s="5">
        <v>15000</v>
      </c>
      <c r="F164" s="1">
        <v>1</v>
      </c>
      <c r="G164" s="4"/>
      <c r="H164" s="4"/>
      <c r="I164" s="4"/>
      <c r="J164" s="4">
        <v>46039</v>
      </c>
      <c r="K164" s="1" t="s">
        <v>86</v>
      </c>
      <c r="L164" s="1"/>
      <c r="M164" s="1"/>
      <c r="N164" s="1"/>
      <c r="O164" s="1"/>
      <c r="P164" s="1"/>
      <c r="Q164" s="1"/>
      <c r="R164" s="1"/>
      <c r="S164" s="1"/>
    </row>
    <row r="165" spans="1:19" ht="23" customHeight="1">
      <c r="A165" s="1" t="s">
        <v>222</v>
      </c>
      <c r="B165" s="4">
        <v>46107</v>
      </c>
      <c r="C165" s="1" t="s">
        <v>19</v>
      </c>
      <c r="D165" s="1" t="s">
        <v>54</v>
      </c>
      <c r="E165" s="5">
        <v>6000</v>
      </c>
      <c r="F165" s="1">
        <v>0</v>
      </c>
      <c r="G165" s="4">
        <v>46108</v>
      </c>
      <c r="H165" s="4">
        <v>46112</v>
      </c>
      <c r="I165" s="4"/>
      <c r="J165" s="4"/>
      <c r="K165" s="1" t="s">
        <v>69</v>
      </c>
      <c r="L165" s="1"/>
      <c r="M165" s="1"/>
      <c r="N165" s="1"/>
      <c r="O165" s="1"/>
      <c r="P165" s="1"/>
      <c r="Q165" s="1"/>
      <c r="R165" s="1"/>
      <c r="S165" s="1"/>
    </row>
    <row r="166" spans="1:19" ht="23" customHeight="1">
      <c r="A166" s="1" t="s">
        <v>223</v>
      </c>
      <c r="B166" s="4">
        <v>46034</v>
      </c>
      <c r="C166" s="1" t="s">
        <v>18</v>
      </c>
      <c r="D166" s="1" t="s">
        <v>71</v>
      </c>
      <c r="E166" s="5">
        <v>12000</v>
      </c>
      <c r="F166" s="1">
        <v>0</v>
      </c>
      <c r="G166" s="4">
        <v>46036</v>
      </c>
      <c r="H166" s="4">
        <v>46041</v>
      </c>
      <c r="I166" s="4">
        <v>46042</v>
      </c>
      <c r="J166" s="4"/>
      <c r="K166" s="1" t="s">
        <v>55</v>
      </c>
      <c r="L166" s="1"/>
      <c r="M166" s="1"/>
      <c r="N166" s="1"/>
      <c r="O166" s="1"/>
      <c r="P166" s="1"/>
      <c r="Q166" s="1"/>
      <c r="R166" s="1"/>
      <c r="S166" s="1"/>
    </row>
    <row r="167" spans="1:19" ht="23" customHeight="1">
      <c r="A167" s="1" t="s">
        <v>224</v>
      </c>
      <c r="B167" s="4">
        <v>46044</v>
      </c>
      <c r="C167" s="1" t="s">
        <v>19</v>
      </c>
      <c r="D167" s="1" t="s">
        <v>54</v>
      </c>
      <c r="E167" s="5">
        <v>29000</v>
      </c>
      <c r="F167" s="1">
        <v>1</v>
      </c>
      <c r="G167" s="4"/>
      <c r="H167" s="4"/>
      <c r="I167" s="4"/>
      <c r="J167" s="4">
        <v>46045</v>
      </c>
      <c r="K167" s="1" t="s">
        <v>86</v>
      </c>
      <c r="L167" s="1"/>
      <c r="M167" s="1"/>
      <c r="N167" s="1"/>
      <c r="O167" s="1"/>
      <c r="P167" s="1"/>
      <c r="Q167" s="1"/>
      <c r="R167" s="1"/>
      <c r="S167" s="1"/>
    </row>
    <row r="168" spans="1:19" ht="23" customHeight="1">
      <c r="A168" s="1" t="s">
        <v>225</v>
      </c>
      <c r="B168" s="4">
        <v>46049</v>
      </c>
      <c r="C168" s="1" t="s">
        <v>18</v>
      </c>
      <c r="D168" s="1" t="s">
        <v>65</v>
      </c>
      <c r="E168" s="5">
        <v>32000</v>
      </c>
      <c r="F168" s="1">
        <v>1</v>
      </c>
      <c r="G168" s="4">
        <v>46052</v>
      </c>
      <c r="H168" s="4">
        <v>46056</v>
      </c>
      <c r="I168" s="4">
        <v>46059</v>
      </c>
      <c r="J168" s="4"/>
      <c r="K168" s="1" t="s">
        <v>55</v>
      </c>
      <c r="L168" s="1"/>
      <c r="M168" s="1"/>
      <c r="N168" s="1"/>
      <c r="O168" s="1"/>
      <c r="P168" s="1"/>
      <c r="Q168" s="1"/>
      <c r="R168" s="1"/>
      <c r="S168" s="1"/>
    </row>
    <row r="169" spans="1:19" ht="23" customHeight="1">
      <c r="A169" s="1" t="s">
        <v>226</v>
      </c>
      <c r="B169" s="4">
        <v>46100</v>
      </c>
      <c r="C169" s="1" t="s">
        <v>18</v>
      </c>
      <c r="D169" s="1" t="s">
        <v>62</v>
      </c>
      <c r="E169" s="5">
        <v>12000</v>
      </c>
      <c r="F169" s="1">
        <v>1</v>
      </c>
      <c r="G169" s="4">
        <v>46110</v>
      </c>
      <c r="H169" s="4"/>
      <c r="I169" s="4"/>
      <c r="J169" s="4"/>
      <c r="K169" s="1" t="s">
        <v>69</v>
      </c>
      <c r="L169" s="1"/>
      <c r="M169" s="1"/>
      <c r="N169" s="1"/>
      <c r="O169" s="1"/>
      <c r="P169" s="1"/>
      <c r="Q169" s="1"/>
      <c r="R169" s="1"/>
      <c r="S169" s="1"/>
    </row>
    <row r="170" spans="1:19" ht="23" customHeight="1">
      <c r="A170" s="1" t="s">
        <v>227</v>
      </c>
      <c r="B170" s="4">
        <v>46105</v>
      </c>
      <c r="C170" s="1" t="s">
        <v>19</v>
      </c>
      <c r="D170" s="1" t="s">
        <v>54</v>
      </c>
      <c r="E170" s="5">
        <v>18000</v>
      </c>
      <c r="F170" s="1">
        <v>0</v>
      </c>
      <c r="G170" s="4">
        <v>46106</v>
      </c>
      <c r="H170" s="4">
        <v>46111</v>
      </c>
      <c r="I170" s="4"/>
      <c r="J170" s="4"/>
      <c r="K170" s="1" t="s">
        <v>69</v>
      </c>
      <c r="L170" s="1"/>
      <c r="M170" s="1"/>
      <c r="N170" s="1"/>
      <c r="O170" s="1"/>
      <c r="P170" s="1"/>
      <c r="Q170" s="1"/>
      <c r="R170" s="1"/>
      <c r="S170" s="1"/>
    </row>
    <row r="171" spans="1:19" ht="23" customHeight="1">
      <c r="A171" s="1" t="s">
        <v>228</v>
      </c>
      <c r="B171" s="4">
        <v>46071</v>
      </c>
      <c r="C171" s="1" t="s">
        <v>18</v>
      </c>
      <c r="D171" s="1" t="s">
        <v>59</v>
      </c>
      <c r="E171" s="5">
        <v>47000</v>
      </c>
      <c r="F171" s="1">
        <v>1</v>
      </c>
      <c r="G171" s="4">
        <v>46077</v>
      </c>
      <c r="H171" s="4">
        <v>46082</v>
      </c>
      <c r="I171" s="4">
        <v>46083</v>
      </c>
      <c r="J171" s="4"/>
      <c r="K171" s="1" t="s">
        <v>55</v>
      </c>
      <c r="L171" s="1"/>
      <c r="M171" s="1"/>
      <c r="N171" s="1"/>
      <c r="O171" s="1"/>
      <c r="P171" s="1"/>
      <c r="Q171" s="1"/>
      <c r="R171" s="1"/>
      <c r="S171" s="1"/>
    </row>
    <row r="172" spans="1:19" ht="23" customHeight="1">
      <c r="A172" s="1" t="s">
        <v>229</v>
      </c>
      <c r="B172" s="4">
        <v>46025</v>
      </c>
      <c r="C172" s="1" t="s">
        <v>18</v>
      </c>
      <c r="D172" s="1" t="s">
        <v>71</v>
      </c>
      <c r="E172" s="5">
        <v>12000</v>
      </c>
      <c r="F172" s="1">
        <v>1</v>
      </c>
      <c r="G172" s="4">
        <v>46028</v>
      </c>
      <c r="H172" s="4">
        <v>46029</v>
      </c>
      <c r="I172" s="4">
        <v>46030</v>
      </c>
      <c r="J172" s="4"/>
      <c r="K172" s="1" t="s">
        <v>55</v>
      </c>
      <c r="L172" s="1"/>
      <c r="M172" s="1"/>
      <c r="N172" s="1"/>
      <c r="O172" s="1"/>
      <c r="P172" s="1"/>
      <c r="Q172" s="1"/>
      <c r="R172" s="1"/>
      <c r="S172" s="1"/>
    </row>
    <row r="173" spans="1:19" ht="23" customHeight="1">
      <c r="A173" s="1" t="s">
        <v>230</v>
      </c>
      <c r="B173" s="4">
        <v>46050</v>
      </c>
      <c r="C173" s="1" t="s">
        <v>18</v>
      </c>
      <c r="D173" s="1" t="s">
        <v>62</v>
      </c>
      <c r="E173" s="5">
        <v>24000</v>
      </c>
      <c r="F173" s="1">
        <v>0</v>
      </c>
      <c r="G173" s="4">
        <v>46050</v>
      </c>
      <c r="H173" s="4">
        <v>46054</v>
      </c>
      <c r="I173" s="4">
        <v>46056</v>
      </c>
      <c r="J173" s="4"/>
      <c r="K173" s="1" t="s">
        <v>63</v>
      </c>
      <c r="L173" s="1"/>
      <c r="M173" s="1"/>
      <c r="N173" s="1"/>
      <c r="O173" s="1"/>
      <c r="P173" s="1"/>
      <c r="Q173" s="1"/>
      <c r="R173" s="1"/>
      <c r="S173" s="1"/>
    </row>
    <row r="174" spans="1:19" ht="23" customHeight="1">
      <c r="A174" s="1" t="s">
        <v>231</v>
      </c>
      <c r="B174" s="4">
        <v>46054</v>
      </c>
      <c r="C174" s="1" t="s">
        <v>18</v>
      </c>
      <c r="D174" s="1" t="s">
        <v>59</v>
      </c>
      <c r="E174" s="5">
        <v>21000</v>
      </c>
      <c r="F174" s="1">
        <v>1</v>
      </c>
      <c r="G174" s="4">
        <v>46063</v>
      </c>
      <c r="H174" s="4">
        <v>46067</v>
      </c>
      <c r="I174" s="4">
        <v>46069</v>
      </c>
      <c r="J174" s="4"/>
      <c r="K174" s="1" t="s">
        <v>55</v>
      </c>
      <c r="L174" s="1"/>
      <c r="M174" s="1"/>
      <c r="N174" s="1"/>
      <c r="O174" s="1"/>
      <c r="P174" s="1"/>
      <c r="Q174" s="1"/>
      <c r="R174" s="1"/>
      <c r="S174" s="1"/>
    </row>
    <row r="175" spans="1:19" ht="23" customHeight="1">
      <c r="A175" s="1" t="s">
        <v>232</v>
      </c>
      <c r="B175" s="4">
        <v>46054</v>
      </c>
      <c r="C175" s="1" t="s">
        <v>19</v>
      </c>
      <c r="D175" s="1" t="s">
        <v>54</v>
      </c>
      <c r="E175" s="5">
        <v>11000</v>
      </c>
      <c r="F175" s="1">
        <v>0</v>
      </c>
      <c r="G175" s="4">
        <v>46054</v>
      </c>
      <c r="H175" s="4">
        <v>46055</v>
      </c>
      <c r="I175" s="4">
        <v>46058</v>
      </c>
      <c r="J175" s="4"/>
      <c r="K175" s="1" t="s">
        <v>55</v>
      </c>
      <c r="L175" s="1"/>
      <c r="M175" s="1"/>
      <c r="N175" s="1"/>
      <c r="O175" s="1"/>
      <c r="P175" s="1"/>
      <c r="Q175" s="1"/>
      <c r="R175" s="1"/>
      <c r="S175" s="1"/>
    </row>
    <row r="176" spans="1:19" ht="23" customHeight="1">
      <c r="A176" s="1" t="s">
        <v>233</v>
      </c>
      <c r="B176" s="4">
        <v>46065</v>
      </c>
      <c r="C176" s="1" t="s">
        <v>19</v>
      </c>
      <c r="D176" s="1" t="s">
        <v>54</v>
      </c>
      <c r="E176" s="5">
        <v>38000</v>
      </c>
      <c r="F176" s="1">
        <v>0</v>
      </c>
      <c r="G176" s="4">
        <v>46066</v>
      </c>
      <c r="H176" s="4">
        <v>46071</v>
      </c>
      <c r="I176" s="4">
        <v>46073</v>
      </c>
      <c r="J176" s="4"/>
      <c r="K176" s="1" t="s">
        <v>63</v>
      </c>
      <c r="L176" s="1"/>
      <c r="M176" s="1"/>
      <c r="N176" s="1"/>
      <c r="O176" s="1"/>
      <c r="P176" s="1"/>
      <c r="Q176" s="1"/>
      <c r="R176" s="1"/>
      <c r="S176" s="1"/>
    </row>
    <row r="177" spans="1:19" ht="23" customHeight="1">
      <c r="A177" s="1" t="s">
        <v>234</v>
      </c>
      <c r="B177" s="4">
        <v>46109</v>
      </c>
      <c r="C177" s="1" t="s">
        <v>18</v>
      </c>
      <c r="D177" s="1" t="s">
        <v>71</v>
      </c>
      <c r="E177" s="5">
        <v>6000</v>
      </c>
      <c r="F177" s="1">
        <v>0</v>
      </c>
      <c r="G177" s="4">
        <v>46109</v>
      </c>
      <c r="H177" s="4">
        <v>46110</v>
      </c>
      <c r="I177" s="4">
        <v>46111</v>
      </c>
      <c r="J177" s="4"/>
      <c r="K177" s="1" t="s">
        <v>63</v>
      </c>
      <c r="L177" s="1"/>
      <c r="M177" s="1"/>
      <c r="N177" s="1"/>
      <c r="O177" s="1"/>
      <c r="P177" s="1"/>
      <c r="Q177" s="1"/>
      <c r="R177" s="1"/>
      <c r="S177" s="1"/>
    </row>
    <row r="178" spans="1:19" ht="23" customHeight="1">
      <c r="A178" s="1" t="s">
        <v>235</v>
      </c>
      <c r="B178" s="4">
        <v>46025</v>
      </c>
      <c r="C178" s="1" t="s">
        <v>18</v>
      </c>
      <c r="D178" s="1" t="s">
        <v>71</v>
      </c>
      <c r="E178" s="5">
        <v>29000</v>
      </c>
      <c r="F178" s="1">
        <v>0</v>
      </c>
      <c r="G178" s="4">
        <v>46025</v>
      </c>
      <c r="H178" s="4">
        <v>46030</v>
      </c>
      <c r="I178" s="4">
        <v>46031</v>
      </c>
      <c r="J178" s="4"/>
      <c r="K178" s="1" t="s">
        <v>63</v>
      </c>
      <c r="L178" s="1"/>
      <c r="M178" s="1"/>
      <c r="N178" s="1"/>
      <c r="O178" s="1"/>
      <c r="P178" s="1"/>
      <c r="Q178" s="1"/>
      <c r="R178" s="1"/>
      <c r="S178" s="1"/>
    </row>
    <row r="179" spans="1:19" ht="23" customHeight="1">
      <c r="A179" s="1" t="s">
        <v>236</v>
      </c>
      <c r="B179" s="4">
        <v>46073</v>
      </c>
      <c r="C179" s="1" t="s">
        <v>18</v>
      </c>
      <c r="D179" s="1" t="s">
        <v>62</v>
      </c>
      <c r="E179" s="5">
        <v>38000</v>
      </c>
      <c r="F179" s="1">
        <v>0</v>
      </c>
      <c r="G179" s="4">
        <v>46074</v>
      </c>
      <c r="H179" s="4">
        <v>46080</v>
      </c>
      <c r="I179" s="4">
        <v>46081</v>
      </c>
      <c r="J179" s="4"/>
      <c r="K179" s="1" t="s">
        <v>55</v>
      </c>
      <c r="L179" s="1"/>
      <c r="M179" s="1"/>
      <c r="N179" s="1"/>
      <c r="O179" s="1"/>
      <c r="P179" s="1"/>
      <c r="Q179" s="1"/>
      <c r="R179" s="1"/>
      <c r="S179" s="1"/>
    </row>
    <row r="180" spans="1:19" ht="23" customHeight="1">
      <c r="A180" s="1" t="s">
        <v>237</v>
      </c>
      <c r="B180" s="4">
        <v>46102</v>
      </c>
      <c r="C180" s="1" t="s">
        <v>18</v>
      </c>
      <c r="D180" s="1" t="s">
        <v>59</v>
      </c>
      <c r="E180" s="5">
        <v>23000</v>
      </c>
      <c r="F180" s="1">
        <v>1</v>
      </c>
      <c r="G180" s="4">
        <v>46108</v>
      </c>
      <c r="H180" s="4"/>
      <c r="I180" s="4"/>
      <c r="J180" s="4"/>
      <c r="K180" s="1" t="s">
        <v>69</v>
      </c>
      <c r="L180" s="1"/>
      <c r="M180" s="1"/>
      <c r="N180" s="1"/>
      <c r="O180" s="1"/>
      <c r="P180" s="1"/>
      <c r="Q180" s="1"/>
      <c r="R180" s="1"/>
      <c r="S180" s="1"/>
    </row>
    <row r="181" spans="1:19" ht="23" customHeight="1">
      <c r="A181" s="1" t="s">
        <v>238</v>
      </c>
      <c r="B181" s="4">
        <v>46076</v>
      </c>
      <c r="C181" s="1" t="s">
        <v>19</v>
      </c>
      <c r="D181" s="1" t="s">
        <v>54</v>
      </c>
      <c r="E181" s="5">
        <v>23000</v>
      </c>
      <c r="F181" s="1">
        <v>0</v>
      </c>
      <c r="G181" s="4">
        <v>46077</v>
      </c>
      <c r="H181" s="4">
        <v>46082</v>
      </c>
      <c r="I181" s="4">
        <v>46085</v>
      </c>
      <c r="J181" s="4"/>
      <c r="K181" s="1" t="s">
        <v>63</v>
      </c>
      <c r="L181" s="1"/>
      <c r="M181" s="1"/>
      <c r="N181" s="1"/>
      <c r="O181" s="1"/>
      <c r="P181" s="1"/>
      <c r="Q181" s="1"/>
      <c r="R181" s="1"/>
      <c r="S181" s="1"/>
    </row>
    <row r="182" spans="1:19" ht="23" customHeight="1">
      <c r="A182" s="1" t="s">
        <v>239</v>
      </c>
      <c r="B182" s="4">
        <v>46039</v>
      </c>
      <c r="C182" s="1" t="s">
        <v>18</v>
      </c>
      <c r="D182" s="1" t="s">
        <v>59</v>
      </c>
      <c r="E182" s="5">
        <v>38000</v>
      </c>
      <c r="F182" s="1">
        <v>1</v>
      </c>
      <c r="G182" s="4">
        <v>46046</v>
      </c>
      <c r="H182" s="4">
        <v>46048</v>
      </c>
      <c r="I182" s="4">
        <v>46050</v>
      </c>
      <c r="J182" s="4"/>
      <c r="K182" s="1" t="s">
        <v>63</v>
      </c>
      <c r="L182" s="1"/>
      <c r="M182" s="1"/>
      <c r="N182" s="1"/>
      <c r="O182" s="1"/>
      <c r="P182" s="1"/>
      <c r="Q182" s="1"/>
      <c r="R182" s="1"/>
      <c r="S182" s="1"/>
    </row>
    <row r="183" spans="1:19" ht="23" customHeight="1">
      <c r="A183" s="1" t="s">
        <v>240</v>
      </c>
      <c r="B183" s="4">
        <v>46111</v>
      </c>
      <c r="C183" s="1" t="s">
        <v>18</v>
      </c>
      <c r="D183" s="1" t="s">
        <v>59</v>
      </c>
      <c r="E183" s="5">
        <v>47000</v>
      </c>
      <c r="F183" s="1">
        <v>0</v>
      </c>
      <c r="G183" s="4"/>
      <c r="H183" s="4"/>
      <c r="I183" s="4"/>
      <c r="J183" s="4"/>
      <c r="K183" s="1" t="s">
        <v>69</v>
      </c>
      <c r="L183" s="1"/>
      <c r="M183" s="1"/>
      <c r="N183" s="1"/>
      <c r="O183" s="1"/>
      <c r="P183" s="1"/>
      <c r="Q183" s="1"/>
      <c r="R183" s="1"/>
      <c r="S183" s="1"/>
    </row>
    <row r="184" spans="1:19" ht="23" customHeight="1">
      <c r="A184" s="1" t="s">
        <v>241</v>
      </c>
      <c r="B184" s="4">
        <v>46052</v>
      </c>
      <c r="C184" s="1" t="s">
        <v>19</v>
      </c>
      <c r="D184" s="1" t="s">
        <v>54</v>
      </c>
      <c r="E184" s="5">
        <v>27000</v>
      </c>
      <c r="F184" s="1">
        <v>0</v>
      </c>
      <c r="G184" s="4">
        <v>46052</v>
      </c>
      <c r="H184" s="4">
        <v>46056</v>
      </c>
      <c r="I184" s="4">
        <v>46057</v>
      </c>
      <c r="J184" s="4"/>
      <c r="K184" s="1" t="s">
        <v>55</v>
      </c>
      <c r="L184" s="1"/>
      <c r="M184" s="1"/>
      <c r="N184" s="1"/>
      <c r="O184" s="1"/>
      <c r="P184" s="1"/>
      <c r="Q184" s="1"/>
      <c r="R184" s="1"/>
      <c r="S184" s="1"/>
    </row>
    <row r="185" spans="1:19" ht="23" customHeight="1">
      <c r="A185" s="1" t="s">
        <v>242</v>
      </c>
      <c r="B185" s="4">
        <v>46040</v>
      </c>
      <c r="C185" s="1" t="s">
        <v>19</v>
      </c>
      <c r="D185" s="1" t="s">
        <v>54</v>
      </c>
      <c r="E185" s="5">
        <v>9000</v>
      </c>
      <c r="F185" s="1">
        <v>1</v>
      </c>
      <c r="G185" s="4">
        <v>46050</v>
      </c>
      <c r="H185" s="4">
        <v>46051</v>
      </c>
      <c r="I185" s="4">
        <v>46052</v>
      </c>
      <c r="J185" s="4"/>
      <c r="K185" s="1" t="s">
        <v>63</v>
      </c>
      <c r="L185" s="1"/>
      <c r="M185" s="1"/>
      <c r="N185" s="1"/>
      <c r="O185" s="1"/>
      <c r="P185" s="1"/>
      <c r="Q185" s="1"/>
      <c r="R185" s="1"/>
      <c r="S185" s="1"/>
    </row>
    <row r="186" spans="1:19" ht="23" customHeight="1">
      <c r="A186" s="1" t="s">
        <v>243</v>
      </c>
      <c r="B186" s="4">
        <v>46064</v>
      </c>
      <c r="C186" s="1" t="s">
        <v>19</v>
      </c>
      <c r="D186" s="1" t="s">
        <v>54</v>
      </c>
      <c r="E186" s="5">
        <v>27000</v>
      </c>
      <c r="F186" s="1">
        <v>1</v>
      </c>
      <c r="G186" s="4">
        <v>46067</v>
      </c>
      <c r="H186" s="4">
        <v>46072</v>
      </c>
      <c r="I186" s="4">
        <v>46075</v>
      </c>
      <c r="J186" s="4"/>
      <c r="K186" s="1" t="s">
        <v>63</v>
      </c>
      <c r="L186" s="1"/>
      <c r="M186" s="1"/>
      <c r="N186" s="1"/>
      <c r="O186" s="1"/>
      <c r="P186" s="1"/>
      <c r="Q186" s="1"/>
      <c r="R186" s="1"/>
      <c r="S186" s="1"/>
    </row>
    <row r="187" spans="1:19" ht="23" customHeight="1">
      <c r="A187" s="1" t="s">
        <v>244</v>
      </c>
      <c r="B187" s="4">
        <v>46051</v>
      </c>
      <c r="C187" s="1" t="s">
        <v>18</v>
      </c>
      <c r="D187" s="1" t="s">
        <v>62</v>
      </c>
      <c r="E187" s="5">
        <v>33000</v>
      </c>
      <c r="F187" s="1">
        <v>1</v>
      </c>
      <c r="G187" s="4">
        <v>46059</v>
      </c>
      <c r="H187" s="4">
        <v>46064</v>
      </c>
      <c r="I187" s="4">
        <v>46067</v>
      </c>
      <c r="J187" s="4"/>
      <c r="K187" s="1" t="s">
        <v>55</v>
      </c>
      <c r="L187" s="1"/>
      <c r="M187" s="1"/>
      <c r="N187" s="1"/>
      <c r="O187" s="1"/>
      <c r="P187" s="1"/>
      <c r="Q187" s="1"/>
      <c r="R187" s="1"/>
      <c r="S187" s="1"/>
    </row>
    <row r="188" spans="1:19" ht="23" customHeight="1">
      <c r="A188" s="1" t="s">
        <v>245</v>
      </c>
      <c r="B188" s="4">
        <v>46092</v>
      </c>
      <c r="C188" s="1" t="s">
        <v>19</v>
      </c>
      <c r="D188" s="1" t="s">
        <v>54</v>
      </c>
      <c r="E188" s="5">
        <v>26000</v>
      </c>
      <c r="F188" s="1">
        <v>0</v>
      </c>
      <c r="G188" s="4">
        <v>46092</v>
      </c>
      <c r="H188" s="4">
        <v>46094</v>
      </c>
      <c r="I188" s="4">
        <v>46096</v>
      </c>
      <c r="J188" s="4"/>
      <c r="K188" s="1" t="s">
        <v>55</v>
      </c>
      <c r="L188" s="1"/>
      <c r="M188" s="1"/>
      <c r="N188" s="1"/>
      <c r="O188" s="1"/>
      <c r="P188" s="1"/>
      <c r="Q188" s="1"/>
      <c r="R188" s="1"/>
      <c r="S188" s="1"/>
    </row>
    <row r="189" spans="1:19" ht="23" customHeight="1">
      <c r="A189" s="1" t="s">
        <v>246</v>
      </c>
      <c r="B189" s="4">
        <v>46061</v>
      </c>
      <c r="C189" s="1" t="s">
        <v>18</v>
      </c>
      <c r="D189" s="1" t="s">
        <v>71</v>
      </c>
      <c r="E189" s="5">
        <v>33000</v>
      </c>
      <c r="F189" s="1">
        <v>1</v>
      </c>
      <c r="G189" s="4">
        <v>46065</v>
      </c>
      <c r="H189" s="4">
        <v>46068</v>
      </c>
      <c r="I189" s="4">
        <v>46070</v>
      </c>
      <c r="J189" s="4"/>
      <c r="K189" s="1" t="s">
        <v>55</v>
      </c>
      <c r="L189" s="1"/>
      <c r="M189" s="1"/>
      <c r="N189" s="1"/>
      <c r="O189" s="1"/>
      <c r="P189" s="1"/>
      <c r="Q189" s="1"/>
      <c r="R189" s="1"/>
      <c r="S189" s="1"/>
    </row>
    <row r="190" spans="1:19" ht="23" customHeight="1">
      <c r="A190" s="1" t="s">
        <v>247</v>
      </c>
      <c r="B190" s="4">
        <v>46091</v>
      </c>
      <c r="C190" s="1" t="s">
        <v>18</v>
      </c>
      <c r="D190" s="1" t="s">
        <v>65</v>
      </c>
      <c r="E190" s="5">
        <v>39000</v>
      </c>
      <c r="F190" s="1">
        <v>1</v>
      </c>
      <c r="G190" s="4"/>
      <c r="H190" s="4"/>
      <c r="I190" s="4"/>
      <c r="J190" s="4">
        <v>46095</v>
      </c>
      <c r="K190" s="1" t="s">
        <v>86</v>
      </c>
      <c r="L190" s="1"/>
      <c r="M190" s="1"/>
      <c r="N190" s="1"/>
      <c r="O190" s="1"/>
      <c r="P190" s="1"/>
      <c r="Q190" s="1"/>
      <c r="R190" s="1"/>
      <c r="S190" s="1"/>
    </row>
    <row r="191" spans="1:19" ht="23" customHeight="1">
      <c r="A191" s="1" t="s">
        <v>248</v>
      </c>
      <c r="B191" s="4">
        <v>46045</v>
      </c>
      <c r="C191" s="1" t="s">
        <v>18</v>
      </c>
      <c r="D191" s="1" t="s">
        <v>65</v>
      </c>
      <c r="E191" s="5">
        <v>49000</v>
      </c>
      <c r="F191" s="1">
        <v>0</v>
      </c>
      <c r="G191" s="4">
        <v>46045</v>
      </c>
      <c r="H191" s="4">
        <v>46050</v>
      </c>
      <c r="I191" s="4">
        <v>46051</v>
      </c>
      <c r="J191" s="4"/>
      <c r="K191" s="1" t="s">
        <v>63</v>
      </c>
      <c r="L191" s="1"/>
      <c r="M191" s="1"/>
      <c r="N191" s="1"/>
      <c r="O191" s="1"/>
      <c r="P191" s="1"/>
      <c r="Q191" s="1"/>
      <c r="R191" s="1"/>
      <c r="S191" s="1"/>
    </row>
    <row r="192" spans="1:19" ht="23" customHeight="1">
      <c r="A192" s="1" t="s">
        <v>249</v>
      </c>
      <c r="B192" s="4">
        <v>46081</v>
      </c>
      <c r="C192" s="1" t="s">
        <v>19</v>
      </c>
      <c r="D192" s="1" t="s">
        <v>54</v>
      </c>
      <c r="E192" s="5">
        <v>37000</v>
      </c>
      <c r="F192" s="1">
        <v>0</v>
      </c>
      <c r="G192" s="4">
        <v>46081</v>
      </c>
      <c r="H192" s="4">
        <v>46085</v>
      </c>
      <c r="I192" s="4">
        <v>46086</v>
      </c>
      <c r="J192" s="4"/>
      <c r="K192" s="1" t="s">
        <v>55</v>
      </c>
      <c r="L192" s="1"/>
      <c r="M192" s="1"/>
      <c r="N192" s="1"/>
      <c r="O192" s="1"/>
      <c r="P192" s="1"/>
      <c r="Q192" s="1"/>
      <c r="R192" s="1"/>
      <c r="S192" s="1"/>
    </row>
    <row r="193" spans="1:19" ht="23" customHeight="1">
      <c r="A193" s="1" t="s">
        <v>250</v>
      </c>
      <c r="B193" s="4">
        <v>46100</v>
      </c>
      <c r="C193" s="1" t="s">
        <v>18</v>
      </c>
      <c r="D193" s="1" t="s">
        <v>71</v>
      </c>
      <c r="E193" s="5">
        <v>7000</v>
      </c>
      <c r="F193" s="1">
        <v>1</v>
      </c>
      <c r="G193" s="4">
        <v>46107</v>
      </c>
      <c r="H193" s="4">
        <v>46112</v>
      </c>
      <c r="I193" s="4"/>
      <c r="J193" s="4"/>
      <c r="K193" s="1" t="s">
        <v>69</v>
      </c>
      <c r="L193" s="1"/>
      <c r="M193" s="1"/>
      <c r="N193" s="1"/>
      <c r="O193" s="1"/>
      <c r="P193" s="1"/>
      <c r="Q193" s="1"/>
      <c r="R193" s="1"/>
      <c r="S193" s="1"/>
    </row>
    <row r="194" spans="1:19" ht="23" customHeight="1">
      <c r="A194" s="1" t="s">
        <v>251</v>
      </c>
      <c r="B194" s="4">
        <v>46095</v>
      </c>
      <c r="C194" s="1" t="s">
        <v>18</v>
      </c>
      <c r="D194" s="1" t="s">
        <v>59</v>
      </c>
      <c r="E194" s="5">
        <v>41000</v>
      </c>
      <c r="F194" s="1">
        <v>1</v>
      </c>
      <c r="G194" s="4">
        <v>46103</v>
      </c>
      <c r="H194" s="4">
        <v>46107</v>
      </c>
      <c r="I194" s="4">
        <v>46109</v>
      </c>
      <c r="J194" s="4"/>
      <c r="K194" s="1" t="s">
        <v>63</v>
      </c>
      <c r="L194" s="1"/>
      <c r="M194" s="1"/>
      <c r="N194" s="1"/>
      <c r="O194" s="1"/>
      <c r="P194" s="1"/>
      <c r="Q194" s="1"/>
      <c r="R194" s="1"/>
      <c r="S194" s="1"/>
    </row>
    <row r="195" spans="1:19" ht="23" customHeight="1">
      <c r="A195" s="1" t="s">
        <v>252</v>
      </c>
      <c r="B195" s="4">
        <v>46095</v>
      </c>
      <c r="C195" s="1" t="s">
        <v>19</v>
      </c>
      <c r="D195" s="1" t="s">
        <v>54</v>
      </c>
      <c r="E195" s="5">
        <v>46000</v>
      </c>
      <c r="F195" s="1">
        <v>0</v>
      </c>
      <c r="G195" s="4">
        <v>46096</v>
      </c>
      <c r="H195" s="4">
        <v>46101</v>
      </c>
      <c r="I195" s="4">
        <v>46103</v>
      </c>
      <c r="J195" s="4"/>
      <c r="K195" s="1" t="s">
        <v>55</v>
      </c>
      <c r="L195" s="1"/>
      <c r="M195" s="1"/>
      <c r="N195" s="1"/>
      <c r="O195" s="1"/>
      <c r="P195" s="1"/>
      <c r="Q195" s="1"/>
      <c r="R195" s="1"/>
      <c r="S195" s="1"/>
    </row>
    <row r="196" spans="1:19" ht="23" customHeight="1">
      <c r="A196" s="1" t="s">
        <v>253</v>
      </c>
      <c r="B196" s="4">
        <v>46050</v>
      </c>
      <c r="C196" s="1" t="s">
        <v>19</v>
      </c>
      <c r="D196" s="1" t="s">
        <v>54</v>
      </c>
      <c r="E196" s="5">
        <v>45000</v>
      </c>
      <c r="F196" s="1">
        <v>0</v>
      </c>
      <c r="G196" s="4">
        <v>46052</v>
      </c>
      <c r="H196" s="4">
        <v>46054</v>
      </c>
      <c r="I196" s="4">
        <v>46056</v>
      </c>
      <c r="J196" s="4"/>
      <c r="K196" s="1" t="s">
        <v>55</v>
      </c>
      <c r="L196" s="1"/>
      <c r="M196" s="1"/>
      <c r="N196" s="1"/>
      <c r="O196" s="1"/>
      <c r="P196" s="1"/>
      <c r="Q196" s="1"/>
      <c r="R196" s="1"/>
      <c r="S196" s="1"/>
    </row>
    <row r="197" spans="1:19" ht="23" customHeight="1">
      <c r="A197" s="1" t="s">
        <v>254</v>
      </c>
      <c r="B197" s="4">
        <v>46067</v>
      </c>
      <c r="C197" s="1" t="s">
        <v>18</v>
      </c>
      <c r="D197" s="1" t="s">
        <v>71</v>
      </c>
      <c r="E197" s="5">
        <v>13000</v>
      </c>
      <c r="F197" s="1">
        <v>0</v>
      </c>
      <c r="G197" s="4">
        <v>46067</v>
      </c>
      <c r="H197" s="4">
        <v>46072</v>
      </c>
      <c r="I197" s="4">
        <v>46074</v>
      </c>
      <c r="J197" s="4"/>
      <c r="K197" s="1" t="s">
        <v>55</v>
      </c>
      <c r="L197" s="1"/>
      <c r="M197" s="1"/>
      <c r="N197" s="1"/>
      <c r="O197" s="1"/>
      <c r="P197" s="1"/>
      <c r="Q197" s="1"/>
      <c r="R197" s="1"/>
      <c r="S197" s="1"/>
    </row>
    <row r="198" spans="1:19" ht="23" customHeight="1">
      <c r="A198" s="1" t="s">
        <v>255</v>
      </c>
      <c r="B198" s="4">
        <v>46073</v>
      </c>
      <c r="C198" s="1" t="s">
        <v>18</v>
      </c>
      <c r="D198" s="1" t="s">
        <v>62</v>
      </c>
      <c r="E198" s="5">
        <v>41000</v>
      </c>
      <c r="F198" s="1">
        <v>1</v>
      </c>
      <c r="G198" s="4">
        <v>46083</v>
      </c>
      <c r="H198" s="4">
        <v>46087</v>
      </c>
      <c r="I198" s="4">
        <v>46088</v>
      </c>
      <c r="J198" s="4"/>
      <c r="K198" s="1" t="s">
        <v>55</v>
      </c>
      <c r="L198" s="1"/>
      <c r="M198" s="1"/>
      <c r="N198" s="1"/>
      <c r="O198" s="1"/>
      <c r="P198" s="1"/>
      <c r="Q198" s="1"/>
      <c r="R198" s="1"/>
      <c r="S198" s="1"/>
    </row>
    <row r="199" spans="1:19" ht="23" customHeight="1">
      <c r="A199" s="1" t="s">
        <v>256</v>
      </c>
      <c r="B199" s="4">
        <v>46062</v>
      </c>
      <c r="C199" s="1" t="s">
        <v>18</v>
      </c>
      <c r="D199" s="1" t="s">
        <v>62</v>
      </c>
      <c r="E199" s="5">
        <v>5000</v>
      </c>
      <c r="F199" s="1">
        <v>0</v>
      </c>
      <c r="G199" s="4">
        <v>46063</v>
      </c>
      <c r="H199" s="4">
        <v>46070</v>
      </c>
      <c r="I199" s="4">
        <v>46071</v>
      </c>
      <c r="J199" s="4"/>
      <c r="K199" s="1" t="s">
        <v>63</v>
      </c>
      <c r="L199" s="1"/>
      <c r="M199" s="1"/>
      <c r="N199" s="1"/>
      <c r="O199" s="1"/>
      <c r="P199" s="1"/>
      <c r="Q199" s="1"/>
      <c r="R199" s="1"/>
      <c r="S199" s="1"/>
    </row>
    <row r="200" spans="1:19" ht="23" customHeight="1">
      <c r="A200" s="1" t="s">
        <v>257</v>
      </c>
      <c r="B200" s="4">
        <v>46023</v>
      </c>
      <c r="C200" s="1" t="s">
        <v>18</v>
      </c>
      <c r="D200" s="1" t="s">
        <v>62</v>
      </c>
      <c r="E200" s="5">
        <v>21000</v>
      </c>
      <c r="F200" s="1">
        <v>1</v>
      </c>
      <c r="G200" s="4">
        <v>46030</v>
      </c>
      <c r="H200" s="4">
        <v>46036</v>
      </c>
      <c r="I200" s="4">
        <v>46038</v>
      </c>
      <c r="J200" s="4"/>
      <c r="K200" s="1" t="s">
        <v>63</v>
      </c>
      <c r="L200" s="1"/>
      <c r="M200" s="1"/>
      <c r="N200" s="1"/>
      <c r="O200" s="1"/>
      <c r="P200" s="1"/>
      <c r="Q200" s="1"/>
      <c r="R200" s="1"/>
      <c r="S200" s="1"/>
    </row>
    <row r="201" spans="1:19" ht="23" customHeight="1">
      <c r="A201" s="1" t="s">
        <v>258</v>
      </c>
      <c r="B201" s="4">
        <v>46109</v>
      </c>
      <c r="C201" s="1" t="s">
        <v>19</v>
      </c>
      <c r="D201" s="1" t="s">
        <v>54</v>
      </c>
      <c r="E201" s="5">
        <v>44000</v>
      </c>
      <c r="F201" s="1">
        <v>0</v>
      </c>
      <c r="G201" s="4">
        <v>46110</v>
      </c>
      <c r="H201" s="4"/>
      <c r="I201" s="4"/>
      <c r="J201" s="4"/>
      <c r="K201" s="1" t="s">
        <v>69</v>
      </c>
      <c r="L201" s="1"/>
      <c r="M201" s="1"/>
      <c r="N201" s="1"/>
      <c r="O201" s="1"/>
      <c r="P201" s="1"/>
      <c r="Q201" s="1"/>
      <c r="R201" s="1"/>
      <c r="S201" s="1"/>
    </row>
    <row r="202" spans="1:19" ht="23" customHeight="1">
      <c r="A202" s="1" t="s">
        <v>259</v>
      </c>
      <c r="B202" s="4">
        <v>46105</v>
      </c>
      <c r="C202" s="1" t="s">
        <v>19</v>
      </c>
      <c r="D202" s="1" t="s">
        <v>54</v>
      </c>
      <c r="E202" s="5">
        <v>43000</v>
      </c>
      <c r="F202" s="1">
        <v>0</v>
      </c>
      <c r="G202" s="4">
        <v>46107</v>
      </c>
      <c r="H202" s="4">
        <v>46109</v>
      </c>
      <c r="I202" s="4">
        <v>46110</v>
      </c>
      <c r="J202" s="4"/>
      <c r="K202" s="1" t="s">
        <v>55</v>
      </c>
      <c r="L202" s="1"/>
      <c r="M202" s="1"/>
      <c r="N202" s="1"/>
      <c r="O202" s="1"/>
      <c r="P202" s="1"/>
      <c r="Q202" s="1"/>
      <c r="R202" s="1"/>
      <c r="S202" s="1"/>
    </row>
    <row r="203" spans="1:19" ht="23" customHeight="1">
      <c r="A203" s="1" t="s">
        <v>260</v>
      </c>
      <c r="B203" s="4">
        <v>46033</v>
      </c>
      <c r="C203" s="1" t="s">
        <v>18</v>
      </c>
      <c r="D203" s="1" t="s">
        <v>59</v>
      </c>
      <c r="E203" s="5">
        <v>44000</v>
      </c>
      <c r="F203" s="1">
        <v>0</v>
      </c>
      <c r="G203" s="4">
        <v>46035</v>
      </c>
      <c r="H203" s="4">
        <v>46040</v>
      </c>
      <c r="I203" s="4">
        <v>46043</v>
      </c>
      <c r="J203" s="4"/>
      <c r="K203" s="1" t="s">
        <v>55</v>
      </c>
      <c r="L203" s="1"/>
      <c r="M203" s="1"/>
      <c r="N203" s="1"/>
      <c r="O203" s="1"/>
      <c r="P203" s="1"/>
      <c r="Q203" s="1"/>
      <c r="R203" s="1"/>
      <c r="S203" s="1"/>
    </row>
    <row r="204" spans="1:19" ht="23" customHeight="1">
      <c r="A204" s="1" t="s">
        <v>261</v>
      </c>
      <c r="B204" s="4">
        <v>46080</v>
      </c>
      <c r="C204" s="1" t="s">
        <v>18</v>
      </c>
      <c r="D204" s="1" t="s">
        <v>62</v>
      </c>
      <c r="E204" s="5">
        <v>46000</v>
      </c>
      <c r="F204" s="1">
        <v>0</v>
      </c>
      <c r="G204" s="4">
        <v>46080</v>
      </c>
      <c r="H204" s="4">
        <v>46087</v>
      </c>
      <c r="I204" s="4">
        <v>46088</v>
      </c>
      <c r="J204" s="4"/>
      <c r="K204" s="1" t="s">
        <v>55</v>
      </c>
      <c r="L204" s="1"/>
      <c r="M204" s="1"/>
      <c r="N204" s="1"/>
      <c r="O204" s="1"/>
      <c r="P204" s="1"/>
      <c r="Q204" s="1"/>
      <c r="R204" s="1"/>
      <c r="S204" s="1"/>
    </row>
    <row r="205" spans="1:19" ht="23" customHeight="1">
      <c r="A205" s="1" t="s">
        <v>262</v>
      </c>
      <c r="B205" s="4">
        <v>46048</v>
      </c>
      <c r="C205" s="1" t="s">
        <v>18</v>
      </c>
      <c r="D205" s="1" t="s">
        <v>59</v>
      </c>
      <c r="E205" s="5">
        <v>34000</v>
      </c>
      <c r="F205" s="1">
        <v>1</v>
      </c>
      <c r="G205" s="4">
        <v>46057</v>
      </c>
      <c r="H205" s="4">
        <v>46062</v>
      </c>
      <c r="I205" s="4">
        <v>46063</v>
      </c>
      <c r="J205" s="4"/>
      <c r="K205" s="1" t="s">
        <v>55</v>
      </c>
      <c r="L205" s="1"/>
      <c r="M205" s="1"/>
      <c r="N205" s="1"/>
      <c r="O205" s="1"/>
      <c r="P205" s="1"/>
      <c r="Q205" s="1"/>
      <c r="R205" s="1"/>
      <c r="S205" s="1"/>
    </row>
    <row r="206" spans="1:19" ht="23" customHeight="1">
      <c r="A206" s="1" t="s">
        <v>263</v>
      </c>
      <c r="B206" s="4">
        <v>46094</v>
      </c>
      <c r="C206" s="1" t="s">
        <v>19</v>
      </c>
      <c r="D206" s="1" t="s">
        <v>54</v>
      </c>
      <c r="E206" s="5">
        <v>14000</v>
      </c>
      <c r="F206" s="1">
        <v>0</v>
      </c>
      <c r="G206" s="4">
        <v>46094</v>
      </c>
      <c r="H206" s="4">
        <v>46098</v>
      </c>
      <c r="I206" s="4">
        <v>46100</v>
      </c>
      <c r="J206" s="4"/>
      <c r="K206" s="1" t="s">
        <v>63</v>
      </c>
      <c r="L206" s="1"/>
      <c r="M206" s="1"/>
      <c r="N206" s="1"/>
      <c r="O206" s="1"/>
      <c r="P206" s="1"/>
      <c r="Q206" s="1"/>
      <c r="R206" s="1"/>
      <c r="S206" s="1"/>
    </row>
    <row r="207" spans="1:19" ht="23" customHeight="1">
      <c r="A207" s="1" t="s">
        <v>264</v>
      </c>
      <c r="B207" s="4">
        <v>46060</v>
      </c>
      <c r="C207" s="1" t="s">
        <v>19</v>
      </c>
      <c r="D207" s="1" t="s">
        <v>54</v>
      </c>
      <c r="E207" s="5">
        <v>17000</v>
      </c>
      <c r="F207" s="1">
        <v>0</v>
      </c>
      <c r="G207" s="4">
        <v>46061</v>
      </c>
      <c r="H207" s="4">
        <v>46063</v>
      </c>
      <c r="I207" s="4">
        <v>46066</v>
      </c>
      <c r="J207" s="4"/>
      <c r="K207" s="1" t="s">
        <v>55</v>
      </c>
      <c r="L207" s="1"/>
      <c r="M207" s="1"/>
      <c r="N207" s="1"/>
      <c r="O207" s="1"/>
      <c r="P207" s="1"/>
      <c r="Q207" s="1"/>
      <c r="R207" s="1"/>
      <c r="S207" s="1"/>
    </row>
    <row r="208" spans="1:19" ht="23" customHeight="1">
      <c r="A208" s="1" t="s">
        <v>265</v>
      </c>
      <c r="B208" s="4">
        <v>46067</v>
      </c>
      <c r="C208" s="1" t="s">
        <v>19</v>
      </c>
      <c r="D208" s="1" t="s">
        <v>54</v>
      </c>
      <c r="E208" s="5">
        <v>8000</v>
      </c>
      <c r="F208" s="1">
        <v>0</v>
      </c>
      <c r="G208" s="4">
        <v>46069</v>
      </c>
      <c r="H208" s="4">
        <v>46073</v>
      </c>
      <c r="I208" s="4">
        <v>46074</v>
      </c>
      <c r="J208" s="4"/>
      <c r="K208" s="1" t="s">
        <v>55</v>
      </c>
      <c r="L208" s="1"/>
      <c r="M208" s="1"/>
      <c r="N208" s="1"/>
      <c r="O208" s="1"/>
      <c r="P208" s="1"/>
      <c r="Q208" s="1"/>
      <c r="R208" s="1"/>
      <c r="S208" s="1"/>
    </row>
    <row r="209" spans="1:19" ht="23" customHeight="1">
      <c r="A209" s="1" t="s">
        <v>266</v>
      </c>
      <c r="B209" s="4">
        <v>46076</v>
      </c>
      <c r="C209" s="1" t="s">
        <v>18</v>
      </c>
      <c r="D209" s="1" t="s">
        <v>62</v>
      </c>
      <c r="E209" s="5">
        <v>17000</v>
      </c>
      <c r="F209" s="1">
        <v>0</v>
      </c>
      <c r="G209" s="4">
        <v>46076</v>
      </c>
      <c r="H209" s="4">
        <v>46084</v>
      </c>
      <c r="I209" s="4">
        <v>46086</v>
      </c>
      <c r="J209" s="4"/>
      <c r="K209" s="1" t="s">
        <v>55</v>
      </c>
      <c r="L209" s="1"/>
      <c r="M209" s="1"/>
      <c r="N209" s="1"/>
      <c r="O209" s="1"/>
      <c r="P209" s="1"/>
      <c r="Q209" s="1"/>
      <c r="R209" s="1"/>
      <c r="S209" s="1"/>
    </row>
    <row r="210" spans="1:19" ht="23" customHeight="1">
      <c r="A210" s="1" t="s">
        <v>267</v>
      </c>
      <c r="B210" s="4">
        <v>46062</v>
      </c>
      <c r="C210" s="1" t="s">
        <v>18</v>
      </c>
      <c r="D210" s="1" t="s">
        <v>71</v>
      </c>
      <c r="E210" s="5">
        <v>20000</v>
      </c>
      <c r="F210" s="1">
        <v>0</v>
      </c>
      <c r="G210" s="4">
        <v>46064</v>
      </c>
      <c r="H210" s="4">
        <v>46066</v>
      </c>
      <c r="I210" s="4">
        <v>46067</v>
      </c>
      <c r="J210" s="4"/>
      <c r="K210" s="1" t="s">
        <v>55</v>
      </c>
      <c r="L210" s="1"/>
      <c r="M210" s="1"/>
      <c r="N210" s="1"/>
      <c r="O210" s="1"/>
      <c r="P210" s="1"/>
      <c r="Q210" s="1"/>
      <c r="R210" s="1"/>
      <c r="S210" s="1"/>
    </row>
    <row r="211" spans="1:19" ht="23" customHeight="1">
      <c r="A211" s="1" t="s">
        <v>268</v>
      </c>
      <c r="B211" s="4">
        <v>46027</v>
      </c>
      <c r="C211" s="1" t="s">
        <v>19</v>
      </c>
      <c r="D211" s="1" t="s">
        <v>54</v>
      </c>
      <c r="E211" s="5">
        <v>46000</v>
      </c>
      <c r="F211" s="1">
        <v>1</v>
      </c>
      <c r="G211" s="4">
        <v>46035</v>
      </c>
      <c r="H211" s="4">
        <v>46038</v>
      </c>
      <c r="I211" s="4">
        <v>46039</v>
      </c>
      <c r="J211" s="4"/>
      <c r="K211" s="1" t="s">
        <v>63</v>
      </c>
      <c r="L211" s="1"/>
      <c r="M211" s="1"/>
      <c r="N211" s="1"/>
      <c r="O211" s="1"/>
      <c r="P211" s="1"/>
      <c r="Q211" s="1"/>
      <c r="R211" s="1"/>
      <c r="S211" s="1"/>
    </row>
    <row r="212" spans="1:19" ht="23" customHeight="1">
      <c r="A212" s="1" t="s">
        <v>269</v>
      </c>
      <c r="B212" s="4">
        <v>46076</v>
      </c>
      <c r="C212" s="1" t="s">
        <v>19</v>
      </c>
      <c r="D212" s="1" t="s">
        <v>54</v>
      </c>
      <c r="E212" s="5">
        <v>12000</v>
      </c>
      <c r="F212" s="1">
        <v>0</v>
      </c>
      <c r="G212" s="4">
        <v>46078</v>
      </c>
      <c r="H212" s="4">
        <v>46079</v>
      </c>
      <c r="I212" s="4">
        <v>46082</v>
      </c>
      <c r="J212" s="4"/>
      <c r="K212" s="1" t="s">
        <v>55</v>
      </c>
      <c r="L212" s="1"/>
      <c r="M212" s="1"/>
      <c r="N212" s="1"/>
      <c r="O212" s="1"/>
      <c r="P212" s="1"/>
      <c r="Q212" s="1"/>
      <c r="R212" s="1"/>
      <c r="S212" s="1"/>
    </row>
    <row r="213" spans="1:19" ht="23" customHeight="1">
      <c r="A213" s="1" t="s">
        <v>270</v>
      </c>
      <c r="B213" s="4">
        <v>46090</v>
      </c>
      <c r="C213" s="1" t="s">
        <v>18</v>
      </c>
      <c r="D213" s="1" t="s">
        <v>62</v>
      </c>
      <c r="E213" s="5">
        <v>32000</v>
      </c>
      <c r="F213" s="1">
        <v>1</v>
      </c>
      <c r="G213" s="4"/>
      <c r="H213" s="4"/>
      <c r="I213" s="4"/>
      <c r="J213" s="4">
        <v>46095</v>
      </c>
      <c r="K213" s="1" t="s">
        <v>86</v>
      </c>
      <c r="L213" s="1"/>
      <c r="M213" s="1"/>
      <c r="N213" s="1"/>
      <c r="O213" s="1"/>
      <c r="P213" s="1"/>
      <c r="Q213" s="1"/>
      <c r="R213" s="1"/>
      <c r="S213" s="1"/>
    </row>
    <row r="214" spans="1:19" ht="23" customHeight="1">
      <c r="A214" s="1" t="s">
        <v>271</v>
      </c>
      <c r="B214" s="4">
        <v>46070</v>
      </c>
      <c r="C214" s="1" t="s">
        <v>19</v>
      </c>
      <c r="D214" s="1" t="s">
        <v>54</v>
      </c>
      <c r="E214" s="5">
        <v>28000</v>
      </c>
      <c r="F214" s="1">
        <v>0</v>
      </c>
      <c r="G214" s="4">
        <v>46072</v>
      </c>
      <c r="H214" s="4">
        <v>46077</v>
      </c>
      <c r="I214" s="4">
        <v>46080</v>
      </c>
      <c r="J214" s="4"/>
      <c r="K214" s="1" t="s">
        <v>55</v>
      </c>
      <c r="L214" s="1"/>
      <c r="M214" s="1"/>
      <c r="N214" s="1"/>
      <c r="O214" s="1"/>
      <c r="P214" s="1"/>
      <c r="Q214" s="1"/>
      <c r="R214" s="1"/>
      <c r="S214" s="1"/>
    </row>
    <row r="215" spans="1:19" ht="23" customHeight="1">
      <c r="A215" s="1" t="s">
        <v>272</v>
      </c>
      <c r="B215" s="4">
        <v>46055</v>
      </c>
      <c r="C215" s="1" t="s">
        <v>18</v>
      </c>
      <c r="D215" s="1" t="s">
        <v>59</v>
      </c>
      <c r="E215" s="5">
        <v>36000</v>
      </c>
      <c r="F215" s="1">
        <v>1</v>
      </c>
      <c r="G215" s="4">
        <v>46058</v>
      </c>
      <c r="H215" s="4">
        <v>46063</v>
      </c>
      <c r="I215" s="4">
        <v>46065</v>
      </c>
      <c r="J215" s="4"/>
      <c r="K215" s="1" t="s">
        <v>63</v>
      </c>
      <c r="L215" s="1"/>
      <c r="M215" s="1"/>
      <c r="N215" s="1"/>
      <c r="O215" s="1"/>
      <c r="P215" s="1"/>
      <c r="Q215" s="1"/>
      <c r="R215" s="1"/>
      <c r="S215" s="1"/>
    </row>
    <row r="216" spans="1:19" ht="23" customHeight="1">
      <c r="A216" s="1" t="s">
        <v>273</v>
      </c>
      <c r="B216" s="4">
        <v>46109</v>
      </c>
      <c r="C216" s="1" t="s">
        <v>18</v>
      </c>
      <c r="D216" s="1" t="s">
        <v>71</v>
      </c>
      <c r="E216" s="5">
        <v>36000</v>
      </c>
      <c r="F216" s="1">
        <v>0</v>
      </c>
      <c r="G216" s="4">
        <v>46110</v>
      </c>
      <c r="H216" s="4"/>
      <c r="I216" s="4"/>
      <c r="J216" s="4"/>
      <c r="K216" s="1" t="s">
        <v>69</v>
      </c>
      <c r="L216" s="1"/>
      <c r="M216" s="1"/>
      <c r="N216" s="1"/>
      <c r="O216" s="1"/>
      <c r="P216" s="1"/>
      <c r="Q216" s="1"/>
      <c r="R216" s="1"/>
      <c r="S216" s="1"/>
    </row>
    <row r="217" spans="1:19" ht="23" customHeight="1">
      <c r="A217" s="1" t="s">
        <v>274</v>
      </c>
      <c r="B217" s="4">
        <v>46101</v>
      </c>
      <c r="C217" s="1" t="s">
        <v>19</v>
      </c>
      <c r="D217" s="1" t="s">
        <v>54</v>
      </c>
      <c r="E217" s="5">
        <v>20000</v>
      </c>
      <c r="F217" s="1">
        <v>1</v>
      </c>
      <c r="G217" s="4">
        <v>46111</v>
      </c>
      <c r="H217" s="4"/>
      <c r="I217" s="4"/>
      <c r="J217" s="4"/>
      <c r="K217" s="1" t="s">
        <v>69</v>
      </c>
      <c r="L217" s="1"/>
      <c r="M217" s="1"/>
      <c r="N217" s="1"/>
      <c r="O217" s="1"/>
      <c r="P217" s="1"/>
      <c r="Q217" s="1"/>
      <c r="R217" s="1"/>
      <c r="S217" s="1"/>
    </row>
    <row r="218" spans="1:19" ht="23" customHeight="1">
      <c r="A218" s="1" t="s">
        <v>275</v>
      </c>
      <c r="B218" s="4">
        <v>46076</v>
      </c>
      <c r="C218" s="1" t="s">
        <v>18</v>
      </c>
      <c r="D218" s="1" t="s">
        <v>71</v>
      </c>
      <c r="E218" s="5">
        <v>33000</v>
      </c>
      <c r="F218" s="1">
        <v>0</v>
      </c>
      <c r="G218" s="4">
        <v>46077</v>
      </c>
      <c r="H218" s="4">
        <v>46080</v>
      </c>
      <c r="I218" s="4">
        <v>46081</v>
      </c>
      <c r="J218" s="4"/>
      <c r="K218" s="1" t="s">
        <v>63</v>
      </c>
      <c r="L218" s="1"/>
      <c r="M218" s="1"/>
      <c r="N218" s="1"/>
      <c r="O218" s="1"/>
      <c r="P218" s="1"/>
      <c r="Q218" s="1"/>
      <c r="R218" s="1"/>
      <c r="S218" s="1"/>
    </row>
    <row r="219" spans="1:19" ht="23" customHeight="1">
      <c r="A219" s="1" t="s">
        <v>276</v>
      </c>
      <c r="B219" s="4">
        <v>46052</v>
      </c>
      <c r="C219" s="1" t="s">
        <v>19</v>
      </c>
      <c r="D219" s="1" t="s">
        <v>54</v>
      </c>
      <c r="E219" s="5">
        <v>17000</v>
      </c>
      <c r="F219" s="1">
        <v>1</v>
      </c>
      <c r="G219" s="4">
        <v>46055</v>
      </c>
      <c r="H219" s="4">
        <v>46061</v>
      </c>
      <c r="I219" s="4">
        <v>46063</v>
      </c>
      <c r="J219" s="4"/>
      <c r="K219" s="1" t="s">
        <v>63</v>
      </c>
      <c r="L219" s="1"/>
      <c r="M219" s="1"/>
      <c r="N219" s="1"/>
      <c r="O219" s="1"/>
      <c r="P219" s="1"/>
      <c r="Q219" s="1"/>
      <c r="R219" s="1"/>
      <c r="S219" s="1"/>
    </row>
    <row r="220" spans="1:19" ht="23" customHeight="1">
      <c r="A220" s="1" t="s">
        <v>277</v>
      </c>
      <c r="B220" s="4">
        <v>46078</v>
      </c>
      <c r="C220" s="1" t="s">
        <v>18</v>
      </c>
      <c r="D220" s="1" t="s">
        <v>59</v>
      </c>
      <c r="E220" s="5">
        <v>13000</v>
      </c>
      <c r="F220" s="1">
        <v>1</v>
      </c>
      <c r="G220" s="4">
        <v>46088</v>
      </c>
      <c r="H220" s="4">
        <v>46089</v>
      </c>
      <c r="I220" s="4">
        <v>46091</v>
      </c>
      <c r="J220" s="4"/>
      <c r="K220" s="1" t="s">
        <v>55</v>
      </c>
      <c r="L220" s="1"/>
      <c r="M220" s="1"/>
      <c r="N220" s="1"/>
      <c r="O220" s="1"/>
      <c r="P220" s="1"/>
      <c r="Q220" s="1"/>
      <c r="R220" s="1"/>
      <c r="S220" s="1"/>
    </row>
    <row r="221" spans="1:19" ht="23" customHeight="1">
      <c r="A221" s="1" t="s">
        <v>278</v>
      </c>
      <c r="B221" s="4">
        <v>46093</v>
      </c>
      <c r="C221" s="1" t="s">
        <v>18</v>
      </c>
      <c r="D221" s="1" t="s">
        <v>59</v>
      </c>
      <c r="E221" s="5">
        <v>34000</v>
      </c>
      <c r="F221" s="1">
        <v>1</v>
      </c>
      <c r="G221" s="4">
        <v>46097</v>
      </c>
      <c r="H221" s="4">
        <v>46103</v>
      </c>
      <c r="I221" s="4">
        <v>46104</v>
      </c>
      <c r="J221" s="4"/>
      <c r="K221" s="1" t="s">
        <v>55</v>
      </c>
      <c r="L221" s="1"/>
      <c r="M221" s="1"/>
      <c r="N221" s="1"/>
      <c r="O221" s="1"/>
      <c r="P221" s="1"/>
      <c r="Q221" s="1"/>
      <c r="R221" s="1"/>
      <c r="S221" s="1"/>
    </row>
    <row r="222" spans="1:19" ht="23" customHeight="1">
      <c r="A222" s="1" t="s">
        <v>279</v>
      </c>
      <c r="B222" s="4">
        <v>46026</v>
      </c>
      <c r="C222" s="1" t="s">
        <v>18</v>
      </c>
      <c r="D222" s="1" t="s">
        <v>59</v>
      </c>
      <c r="E222" s="5">
        <v>27000</v>
      </c>
      <c r="F222" s="1">
        <v>0</v>
      </c>
      <c r="G222" s="4">
        <v>46027</v>
      </c>
      <c r="H222" s="4">
        <v>46032</v>
      </c>
      <c r="I222" s="4">
        <v>46034</v>
      </c>
      <c r="J222" s="4"/>
      <c r="K222" s="1" t="s">
        <v>55</v>
      </c>
      <c r="L222" s="1"/>
      <c r="M222" s="1"/>
      <c r="N222" s="1"/>
      <c r="O222" s="1"/>
      <c r="P222" s="1"/>
      <c r="Q222" s="1"/>
      <c r="R222" s="1"/>
      <c r="S222" s="1"/>
    </row>
    <row r="223" spans="1:19" ht="23" customHeight="1">
      <c r="A223" s="1" t="s">
        <v>280</v>
      </c>
      <c r="B223" s="4">
        <v>46107</v>
      </c>
      <c r="C223" s="1" t="s">
        <v>19</v>
      </c>
      <c r="D223" s="1" t="s">
        <v>54</v>
      </c>
      <c r="E223" s="5">
        <v>12000</v>
      </c>
      <c r="F223" s="1">
        <v>0</v>
      </c>
      <c r="G223" s="4">
        <v>46109</v>
      </c>
      <c r="H223" s="4"/>
      <c r="I223" s="4"/>
      <c r="J223" s="4"/>
      <c r="K223" s="1" t="s">
        <v>69</v>
      </c>
      <c r="L223" s="1"/>
      <c r="M223" s="1"/>
      <c r="N223" s="1"/>
      <c r="O223" s="1"/>
      <c r="P223" s="1"/>
      <c r="Q223" s="1"/>
      <c r="R223" s="1"/>
      <c r="S223" s="1"/>
    </row>
    <row r="224" spans="1:19" ht="23" customHeight="1">
      <c r="A224" s="1" t="s">
        <v>281</v>
      </c>
      <c r="B224" s="4">
        <v>46067</v>
      </c>
      <c r="C224" s="1" t="s">
        <v>19</v>
      </c>
      <c r="D224" s="1" t="s">
        <v>54</v>
      </c>
      <c r="E224" s="5">
        <v>37000</v>
      </c>
      <c r="F224" s="1">
        <v>0</v>
      </c>
      <c r="G224" s="4">
        <v>46067</v>
      </c>
      <c r="H224" s="4">
        <v>46069</v>
      </c>
      <c r="I224" s="4">
        <v>46072</v>
      </c>
      <c r="J224" s="4"/>
      <c r="K224" s="1" t="s">
        <v>63</v>
      </c>
      <c r="L224" s="1"/>
      <c r="M224" s="1"/>
      <c r="N224" s="1"/>
      <c r="O224" s="1"/>
      <c r="P224" s="1"/>
      <c r="Q224" s="1"/>
      <c r="R224" s="1"/>
      <c r="S224" s="1"/>
    </row>
    <row r="225" spans="1:19" ht="23" customHeight="1">
      <c r="A225" s="1" t="s">
        <v>282</v>
      </c>
      <c r="B225" s="4">
        <v>46091</v>
      </c>
      <c r="C225" s="1" t="s">
        <v>19</v>
      </c>
      <c r="D225" s="1" t="s">
        <v>54</v>
      </c>
      <c r="E225" s="5">
        <v>47000</v>
      </c>
      <c r="F225" s="1">
        <v>0</v>
      </c>
      <c r="G225" s="4">
        <v>46093</v>
      </c>
      <c r="H225" s="4">
        <v>46099</v>
      </c>
      <c r="I225" s="4">
        <v>46101</v>
      </c>
      <c r="J225" s="4"/>
      <c r="K225" s="1" t="s">
        <v>55</v>
      </c>
      <c r="L225" s="1"/>
      <c r="M225" s="1"/>
      <c r="N225" s="1"/>
      <c r="O225" s="1"/>
      <c r="P225" s="1"/>
      <c r="Q225" s="1"/>
      <c r="R225" s="1"/>
      <c r="S225" s="1"/>
    </row>
    <row r="226" spans="1:19" ht="23" customHeight="1">
      <c r="A226" s="1" t="s">
        <v>283</v>
      </c>
      <c r="B226" s="4">
        <v>46062</v>
      </c>
      <c r="C226" s="1" t="s">
        <v>18</v>
      </c>
      <c r="D226" s="1" t="s">
        <v>65</v>
      </c>
      <c r="E226" s="5">
        <v>30000</v>
      </c>
      <c r="F226" s="1">
        <v>0</v>
      </c>
      <c r="G226" s="4">
        <v>46062</v>
      </c>
      <c r="H226" s="4">
        <v>46063</v>
      </c>
      <c r="I226" s="4">
        <v>46066</v>
      </c>
      <c r="J226" s="4"/>
      <c r="K226" s="1" t="s">
        <v>55</v>
      </c>
      <c r="L226" s="1"/>
      <c r="M226" s="1"/>
      <c r="N226" s="1"/>
      <c r="O226" s="1"/>
      <c r="P226" s="1"/>
      <c r="Q226" s="1"/>
      <c r="R226" s="1"/>
      <c r="S226" s="1"/>
    </row>
    <row r="227" spans="1:19" ht="23" customHeight="1">
      <c r="A227" s="1" t="s">
        <v>284</v>
      </c>
      <c r="B227" s="4">
        <v>46084</v>
      </c>
      <c r="C227" s="1" t="s">
        <v>18</v>
      </c>
      <c r="D227" s="1" t="s">
        <v>59</v>
      </c>
      <c r="E227" s="5">
        <v>9000</v>
      </c>
      <c r="F227" s="1">
        <v>1</v>
      </c>
      <c r="G227" s="4">
        <v>46092</v>
      </c>
      <c r="H227" s="4">
        <v>46095</v>
      </c>
      <c r="I227" s="4">
        <v>46098</v>
      </c>
      <c r="J227" s="4"/>
      <c r="K227" s="1" t="s">
        <v>55</v>
      </c>
      <c r="L227" s="1"/>
      <c r="M227" s="1"/>
      <c r="N227" s="1"/>
      <c r="O227" s="1"/>
      <c r="P227" s="1"/>
      <c r="Q227" s="1"/>
      <c r="R227" s="1"/>
      <c r="S227" s="1"/>
    </row>
    <row r="228" spans="1:19" ht="23" customHeight="1">
      <c r="A228" s="1" t="s">
        <v>285</v>
      </c>
      <c r="B228" s="4">
        <v>46064</v>
      </c>
      <c r="C228" s="1" t="s">
        <v>18</v>
      </c>
      <c r="D228" s="1" t="s">
        <v>65</v>
      </c>
      <c r="E228" s="5">
        <v>40000</v>
      </c>
      <c r="F228" s="1">
        <v>0</v>
      </c>
      <c r="G228" s="4">
        <v>46064</v>
      </c>
      <c r="H228" s="4">
        <v>46066</v>
      </c>
      <c r="I228" s="4">
        <v>46068</v>
      </c>
      <c r="J228" s="4"/>
      <c r="K228" s="1" t="s">
        <v>55</v>
      </c>
      <c r="L228" s="1"/>
      <c r="M228" s="1"/>
      <c r="N228" s="1"/>
      <c r="O228" s="1"/>
      <c r="P228" s="1"/>
      <c r="Q228" s="1"/>
      <c r="R228" s="1"/>
      <c r="S228" s="1"/>
    </row>
    <row r="229" spans="1:19" ht="23" customHeight="1">
      <c r="A229" s="1" t="s">
        <v>286</v>
      </c>
      <c r="B229" s="4">
        <v>46062</v>
      </c>
      <c r="C229" s="1" t="s">
        <v>18</v>
      </c>
      <c r="D229" s="1" t="s">
        <v>62</v>
      </c>
      <c r="E229" s="5">
        <v>30000</v>
      </c>
      <c r="F229" s="1">
        <v>1</v>
      </c>
      <c r="G229" s="4">
        <v>46072</v>
      </c>
      <c r="H229" s="4">
        <v>46075</v>
      </c>
      <c r="I229" s="4">
        <v>46078</v>
      </c>
      <c r="J229" s="4"/>
      <c r="K229" s="1" t="s">
        <v>55</v>
      </c>
      <c r="L229" s="1"/>
      <c r="M229" s="1"/>
      <c r="N229" s="1"/>
      <c r="O229" s="1"/>
      <c r="P229" s="1"/>
      <c r="Q229" s="1"/>
      <c r="R229" s="1"/>
      <c r="S229" s="1"/>
    </row>
    <row r="230" spans="1:19" ht="23" customHeight="1">
      <c r="A230" s="1" t="s">
        <v>287</v>
      </c>
      <c r="B230" s="4">
        <v>46089</v>
      </c>
      <c r="C230" s="1" t="s">
        <v>18</v>
      </c>
      <c r="D230" s="1" t="s">
        <v>59</v>
      </c>
      <c r="E230" s="5">
        <v>8000</v>
      </c>
      <c r="F230" s="1">
        <v>1</v>
      </c>
      <c r="G230" s="4"/>
      <c r="H230" s="4"/>
      <c r="I230" s="4"/>
      <c r="J230" s="4">
        <v>46091</v>
      </c>
      <c r="K230" s="1" t="s">
        <v>86</v>
      </c>
      <c r="L230" s="1"/>
      <c r="M230" s="1"/>
      <c r="N230" s="1"/>
      <c r="O230" s="1"/>
      <c r="P230" s="1"/>
      <c r="Q230" s="1"/>
      <c r="R230" s="1"/>
      <c r="S230" s="1"/>
    </row>
    <row r="231" spans="1:19" ht="23" customHeight="1">
      <c r="A231" s="1" t="s">
        <v>288</v>
      </c>
      <c r="B231" s="4">
        <v>46040</v>
      </c>
      <c r="C231" s="1" t="s">
        <v>18</v>
      </c>
      <c r="D231" s="1" t="s">
        <v>71</v>
      </c>
      <c r="E231" s="5">
        <v>8000</v>
      </c>
      <c r="F231" s="1">
        <v>0</v>
      </c>
      <c r="G231" s="4">
        <v>46041</v>
      </c>
      <c r="H231" s="4">
        <v>46042</v>
      </c>
      <c r="I231" s="4">
        <v>46045</v>
      </c>
      <c r="J231" s="4"/>
      <c r="K231" s="1" t="s">
        <v>55</v>
      </c>
      <c r="L231" s="1"/>
      <c r="M231" s="1"/>
      <c r="N231" s="1"/>
      <c r="O231" s="1"/>
      <c r="P231" s="1"/>
      <c r="Q231" s="1"/>
      <c r="R231" s="1"/>
      <c r="S231" s="1"/>
    </row>
    <row r="232" spans="1:19" ht="23" customHeight="1">
      <c r="A232" s="1" t="s">
        <v>289</v>
      </c>
      <c r="B232" s="4">
        <v>46070</v>
      </c>
      <c r="C232" s="1" t="s">
        <v>18</v>
      </c>
      <c r="D232" s="1" t="s">
        <v>59</v>
      </c>
      <c r="E232" s="5">
        <v>11000</v>
      </c>
      <c r="F232" s="1">
        <v>0</v>
      </c>
      <c r="G232" s="4">
        <v>46072</v>
      </c>
      <c r="H232" s="4">
        <v>46078</v>
      </c>
      <c r="I232" s="4">
        <v>46081</v>
      </c>
      <c r="J232" s="4"/>
      <c r="K232" s="1" t="s">
        <v>63</v>
      </c>
      <c r="L232" s="1"/>
      <c r="M232" s="1"/>
      <c r="N232" s="1"/>
      <c r="O232" s="1"/>
      <c r="P232" s="1"/>
      <c r="Q232" s="1"/>
      <c r="R232" s="1"/>
      <c r="S232" s="1"/>
    </row>
    <row r="233" spans="1:19" ht="23" customHeight="1">
      <c r="A233" s="1" t="s">
        <v>290</v>
      </c>
      <c r="B233" s="4">
        <v>46027</v>
      </c>
      <c r="C233" s="1" t="s">
        <v>19</v>
      </c>
      <c r="D233" s="1" t="s">
        <v>54</v>
      </c>
      <c r="E233" s="5">
        <v>21000</v>
      </c>
      <c r="F233" s="1">
        <v>0</v>
      </c>
      <c r="G233" s="4">
        <v>46027</v>
      </c>
      <c r="H233" s="4">
        <v>46028</v>
      </c>
      <c r="I233" s="4">
        <v>46031</v>
      </c>
      <c r="J233" s="4"/>
      <c r="K233" s="1" t="s">
        <v>63</v>
      </c>
      <c r="L233" s="1"/>
      <c r="M233" s="1"/>
      <c r="N233" s="1"/>
      <c r="O233" s="1"/>
      <c r="P233" s="1"/>
      <c r="Q233" s="1"/>
      <c r="R233" s="1"/>
      <c r="S233" s="1"/>
    </row>
    <row r="234" spans="1:19" ht="23" customHeight="1">
      <c r="A234" s="1" t="s">
        <v>291</v>
      </c>
      <c r="B234" s="4">
        <v>46069</v>
      </c>
      <c r="C234" s="1" t="s">
        <v>18</v>
      </c>
      <c r="D234" s="1" t="s">
        <v>59</v>
      </c>
      <c r="E234" s="5">
        <v>46000</v>
      </c>
      <c r="F234" s="1">
        <v>1</v>
      </c>
      <c r="G234" s="4">
        <v>46073</v>
      </c>
      <c r="H234" s="4">
        <v>46078</v>
      </c>
      <c r="I234" s="4">
        <v>46079</v>
      </c>
      <c r="J234" s="4"/>
      <c r="K234" s="1" t="s">
        <v>63</v>
      </c>
      <c r="L234" s="1"/>
      <c r="M234" s="1"/>
      <c r="N234" s="1"/>
      <c r="O234" s="1"/>
      <c r="P234" s="1"/>
      <c r="Q234" s="1"/>
      <c r="R234" s="1"/>
      <c r="S234" s="1"/>
    </row>
    <row r="235" spans="1:19" ht="23" customHeight="1">
      <c r="A235" s="1" t="s">
        <v>292</v>
      </c>
      <c r="B235" s="4">
        <v>46028</v>
      </c>
      <c r="C235" s="1" t="s">
        <v>18</v>
      </c>
      <c r="D235" s="1" t="s">
        <v>71</v>
      </c>
      <c r="E235" s="5">
        <v>43000</v>
      </c>
      <c r="F235" s="1">
        <v>1</v>
      </c>
      <c r="G235" s="4"/>
      <c r="H235" s="4"/>
      <c r="I235" s="4"/>
      <c r="J235" s="4">
        <v>46034</v>
      </c>
      <c r="K235" s="1" t="s">
        <v>86</v>
      </c>
      <c r="L235" s="1"/>
      <c r="M235" s="1"/>
      <c r="N235" s="1"/>
      <c r="O235" s="1"/>
      <c r="P235" s="1"/>
      <c r="Q235" s="1"/>
      <c r="R235" s="1"/>
      <c r="S235" s="1"/>
    </row>
    <row r="236" spans="1:19" ht="23" customHeight="1">
      <c r="A236" s="1" t="s">
        <v>293</v>
      </c>
      <c r="B236" s="4">
        <v>46069</v>
      </c>
      <c r="C236" s="1" t="s">
        <v>18</v>
      </c>
      <c r="D236" s="1" t="s">
        <v>71</v>
      </c>
      <c r="E236" s="5">
        <v>34000</v>
      </c>
      <c r="F236" s="1">
        <v>1</v>
      </c>
      <c r="G236" s="4">
        <v>46074</v>
      </c>
      <c r="H236" s="4">
        <v>46076</v>
      </c>
      <c r="I236" s="4">
        <v>46079</v>
      </c>
      <c r="J236" s="4"/>
      <c r="K236" s="1" t="s">
        <v>55</v>
      </c>
      <c r="L236" s="1"/>
      <c r="M236" s="1"/>
      <c r="N236" s="1"/>
      <c r="O236" s="1"/>
      <c r="P236" s="1"/>
      <c r="Q236" s="1"/>
      <c r="R236" s="1"/>
      <c r="S236" s="1"/>
    </row>
    <row r="237" spans="1:19" ht="23" customHeight="1">
      <c r="A237" s="1" t="s">
        <v>294</v>
      </c>
      <c r="B237" s="4">
        <v>46061</v>
      </c>
      <c r="C237" s="1" t="s">
        <v>18</v>
      </c>
      <c r="D237" s="1" t="s">
        <v>71</v>
      </c>
      <c r="E237" s="5">
        <v>42000</v>
      </c>
      <c r="F237" s="1">
        <v>0</v>
      </c>
      <c r="G237" s="4">
        <v>46063</v>
      </c>
      <c r="H237" s="4">
        <v>46066</v>
      </c>
      <c r="I237" s="4">
        <v>46067</v>
      </c>
      <c r="J237" s="4"/>
      <c r="K237" s="1" t="s">
        <v>63</v>
      </c>
      <c r="L237" s="1"/>
      <c r="M237" s="1"/>
      <c r="N237" s="1"/>
      <c r="O237" s="1"/>
      <c r="P237" s="1"/>
      <c r="Q237" s="1"/>
      <c r="R237" s="1"/>
      <c r="S237" s="1"/>
    </row>
    <row r="238" spans="1:19" ht="23" customHeight="1">
      <c r="A238" s="1" t="s">
        <v>295</v>
      </c>
      <c r="B238" s="4">
        <v>46109</v>
      </c>
      <c r="C238" s="1" t="s">
        <v>18</v>
      </c>
      <c r="D238" s="1" t="s">
        <v>71</v>
      </c>
      <c r="E238" s="5">
        <v>12000</v>
      </c>
      <c r="F238" s="1">
        <v>1</v>
      </c>
      <c r="G238" s="4"/>
      <c r="H238" s="4"/>
      <c r="I238" s="4"/>
      <c r="J238" s="4"/>
      <c r="K238" s="1" t="s">
        <v>69</v>
      </c>
      <c r="L238" s="1"/>
      <c r="M238" s="1"/>
      <c r="N238" s="1"/>
      <c r="O238" s="1"/>
      <c r="P238" s="1"/>
      <c r="Q238" s="1"/>
      <c r="R238" s="1"/>
      <c r="S238" s="1"/>
    </row>
    <row r="239" spans="1:19" ht="23" customHeight="1">
      <c r="A239" s="1" t="s">
        <v>296</v>
      </c>
      <c r="B239" s="4">
        <v>46058</v>
      </c>
      <c r="C239" s="1" t="s">
        <v>19</v>
      </c>
      <c r="D239" s="1" t="s">
        <v>54</v>
      </c>
      <c r="E239" s="5">
        <v>37000</v>
      </c>
      <c r="F239" s="1">
        <v>0</v>
      </c>
      <c r="G239" s="4">
        <v>46058</v>
      </c>
      <c r="H239" s="4">
        <v>46060</v>
      </c>
      <c r="I239" s="4">
        <v>46063</v>
      </c>
      <c r="J239" s="4"/>
      <c r="K239" s="1" t="s">
        <v>55</v>
      </c>
      <c r="L239" s="1"/>
      <c r="M239" s="1"/>
      <c r="N239" s="1"/>
      <c r="O239" s="1"/>
      <c r="P239" s="1"/>
      <c r="Q239" s="1"/>
      <c r="R239" s="1"/>
      <c r="S239" s="1"/>
    </row>
    <row r="240" spans="1:19" ht="23" customHeight="1">
      <c r="A240" s="1" t="s">
        <v>297</v>
      </c>
      <c r="B240" s="4">
        <v>46062</v>
      </c>
      <c r="C240" s="1" t="s">
        <v>19</v>
      </c>
      <c r="D240" s="1" t="s">
        <v>54</v>
      </c>
      <c r="E240" s="5">
        <v>28000</v>
      </c>
      <c r="F240" s="1">
        <v>0</v>
      </c>
      <c r="G240" s="4">
        <v>46064</v>
      </c>
      <c r="H240" s="4">
        <v>46070</v>
      </c>
      <c r="I240" s="4">
        <v>46071</v>
      </c>
      <c r="J240" s="4"/>
      <c r="K240" s="1" t="s">
        <v>55</v>
      </c>
      <c r="L240" s="1"/>
      <c r="M240" s="1"/>
      <c r="N240" s="1"/>
      <c r="O240" s="1"/>
      <c r="P240" s="1"/>
      <c r="Q240" s="1"/>
      <c r="R240" s="1"/>
      <c r="S240" s="1"/>
    </row>
    <row r="241" spans="1:19" ht="23" customHeight="1">
      <c r="A241" s="1" t="s">
        <v>298</v>
      </c>
      <c r="B241" s="4">
        <v>46070</v>
      </c>
      <c r="C241" s="1" t="s">
        <v>19</v>
      </c>
      <c r="D241" s="1" t="s">
        <v>54</v>
      </c>
      <c r="E241" s="5">
        <v>23000</v>
      </c>
      <c r="F241" s="1">
        <v>0</v>
      </c>
      <c r="G241" s="4">
        <v>46071</v>
      </c>
      <c r="H241" s="4">
        <v>46077</v>
      </c>
      <c r="I241" s="4">
        <v>46078</v>
      </c>
      <c r="J241" s="4"/>
      <c r="K241" s="1" t="s">
        <v>55</v>
      </c>
      <c r="L241" s="1"/>
      <c r="M241" s="1"/>
      <c r="N241" s="1"/>
      <c r="O241" s="1"/>
      <c r="P241" s="1"/>
      <c r="Q241" s="1"/>
      <c r="R241" s="1"/>
      <c r="S241" s="1"/>
    </row>
    <row r="242" spans="1:19" ht="23" customHeight="1">
      <c r="A242" s="1" t="s">
        <v>299</v>
      </c>
      <c r="B242" s="4">
        <v>46079</v>
      </c>
      <c r="C242" s="1" t="s">
        <v>18</v>
      </c>
      <c r="D242" s="1" t="s">
        <v>62</v>
      </c>
      <c r="E242" s="5">
        <v>38000</v>
      </c>
      <c r="F242" s="1">
        <v>0</v>
      </c>
      <c r="G242" s="4">
        <v>46079</v>
      </c>
      <c r="H242" s="4">
        <v>46086</v>
      </c>
      <c r="I242" s="4">
        <v>46088</v>
      </c>
      <c r="J242" s="4"/>
      <c r="K242" s="1" t="s">
        <v>55</v>
      </c>
      <c r="L242" s="1"/>
      <c r="M242" s="1"/>
      <c r="N242" s="1"/>
      <c r="O242" s="1"/>
      <c r="P242" s="1"/>
      <c r="Q242" s="1"/>
      <c r="R242" s="1"/>
      <c r="S242" s="1"/>
    </row>
    <row r="243" spans="1:19" ht="23" customHeight="1">
      <c r="A243" s="1" t="s">
        <v>300</v>
      </c>
      <c r="B243" s="4">
        <v>46104</v>
      </c>
      <c r="C243" s="1" t="s">
        <v>19</v>
      </c>
      <c r="D243" s="1" t="s">
        <v>54</v>
      </c>
      <c r="E243" s="5">
        <v>33000</v>
      </c>
      <c r="F243" s="1">
        <v>0</v>
      </c>
      <c r="G243" s="4">
        <v>46105</v>
      </c>
      <c r="H243" s="4">
        <v>46111</v>
      </c>
      <c r="I243" s="4">
        <v>46112</v>
      </c>
      <c r="J243" s="4"/>
      <c r="K243" s="1" t="s">
        <v>63</v>
      </c>
      <c r="L243" s="1"/>
      <c r="M243" s="1"/>
      <c r="N243" s="1"/>
      <c r="O243" s="1"/>
      <c r="P243" s="1"/>
      <c r="Q243" s="1"/>
      <c r="R243" s="1"/>
      <c r="S243" s="1"/>
    </row>
    <row r="244" spans="1:19" ht="23" customHeight="1">
      <c r="A244" s="1" t="s">
        <v>301</v>
      </c>
      <c r="B244" s="4">
        <v>46093</v>
      </c>
      <c r="C244" s="1" t="s">
        <v>19</v>
      </c>
      <c r="D244" s="1" t="s">
        <v>54</v>
      </c>
      <c r="E244" s="5">
        <v>20000</v>
      </c>
      <c r="F244" s="1">
        <v>0</v>
      </c>
      <c r="G244" s="4">
        <v>46093</v>
      </c>
      <c r="H244" s="4">
        <v>46098</v>
      </c>
      <c r="I244" s="4">
        <v>46100</v>
      </c>
      <c r="J244" s="4"/>
      <c r="K244" s="1" t="s">
        <v>63</v>
      </c>
      <c r="L244" s="1"/>
      <c r="M244" s="1"/>
      <c r="N244" s="1"/>
      <c r="O244" s="1"/>
      <c r="P244" s="1"/>
      <c r="Q244" s="1"/>
      <c r="R244" s="1"/>
      <c r="S244" s="1"/>
    </row>
    <row r="245" spans="1:19" ht="23" customHeight="1">
      <c r="A245" s="1" t="s">
        <v>302</v>
      </c>
      <c r="B245" s="4">
        <v>46026</v>
      </c>
      <c r="C245" s="1" t="s">
        <v>18</v>
      </c>
      <c r="D245" s="1" t="s">
        <v>71</v>
      </c>
      <c r="E245" s="5">
        <v>48000</v>
      </c>
      <c r="F245" s="1">
        <v>1</v>
      </c>
      <c r="G245" s="4">
        <v>46035</v>
      </c>
      <c r="H245" s="4">
        <v>46040</v>
      </c>
      <c r="I245" s="4">
        <v>46042</v>
      </c>
      <c r="J245" s="4"/>
      <c r="K245" s="1" t="s">
        <v>55</v>
      </c>
      <c r="L245" s="1"/>
      <c r="M245" s="1"/>
      <c r="N245" s="1"/>
      <c r="O245" s="1"/>
      <c r="P245" s="1"/>
      <c r="Q245" s="1"/>
      <c r="R245" s="1"/>
      <c r="S245" s="1"/>
    </row>
    <row r="246" spans="1:19" ht="23" customHeight="1">
      <c r="A246" s="1" t="s">
        <v>303</v>
      </c>
      <c r="B246" s="4">
        <v>46111</v>
      </c>
      <c r="C246" s="1" t="s">
        <v>18</v>
      </c>
      <c r="D246" s="1" t="s">
        <v>71</v>
      </c>
      <c r="E246" s="5">
        <v>25000</v>
      </c>
      <c r="F246" s="1">
        <v>0</v>
      </c>
      <c r="G246" s="4">
        <v>46112</v>
      </c>
      <c r="H246" s="4"/>
      <c r="I246" s="4"/>
      <c r="J246" s="4"/>
      <c r="K246" s="1" t="s">
        <v>69</v>
      </c>
      <c r="L246" s="1"/>
      <c r="M246" s="1"/>
      <c r="N246" s="1"/>
      <c r="O246" s="1"/>
      <c r="P246" s="1"/>
      <c r="Q246" s="1"/>
      <c r="R246" s="1"/>
      <c r="S246" s="1"/>
    </row>
    <row r="247" spans="1:19" ht="23" customHeight="1">
      <c r="A247" s="1" t="s">
        <v>304</v>
      </c>
      <c r="B247" s="4">
        <v>46097</v>
      </c>
      <c r="C247" s="1" t="s">
        <v>19</v>
      </c>
      <c r="D247" s="1" t="s">
        <v>54</v>
      </c>
      <c r="E247" s="5">
        <v>25000</v>
      </c>
      <c r="F247" s="1">
        <v>0</v>
      </c>
      <c r="G247" s="4">
        <v>46099</v>
      </c>
      <c r="H247" s="4">
        <v>46103</v>
      </c>
      <c r="I247" s="4">
        <v>46106</v>
      </c>
      <c r="J247" s="4"/>
      <c r="K247" s="1" t="s">
        <v>63</v>
      </c>
      <c r="L247" s="1"/>
      <c r="M247" s="1"/>
      <c r="N247" s="1"/>
      <c r="O247" s="1"/>
      <c r="P247" s="1"/>
      <c r="Q247" s="1"/>
      <c r="R247" s="1"/>
      <c r="S247" s="1"/>
    </row>
    <row r="248" spans="1:19" ht="23" customHeight="1">
      <c r="A248" s="1" t="s">
        <v>305</v>
      </c>
      <c r="B248" s="4">
        <v>46030</v>
      </c>
      <c r="C248" s="1" t="s">
        <v>19</v>
      </c>
      <c r="D248" s="1" t="s">
        <v>54</v>
      </c>
      <c r="E248" s="5">
        <v>24000</v>
      </c>
      <c r="F248" s="1">
        <v>0</v>
      </c>
      <c r="G248" s="4">
        <v>46031</v>
      </c>
      <c r="H248" s="4">
        <v>46037</v>
      </c>
      <c r="I248" s="4">
        <v>46039</v>
      </c>
      <c r="J248" s="4"/>
      <c r="K248" s="1" t="s">
        <v>55</v>
      </c>
      <c r="L248" s="1"/>
      <c r="M248" s="1"/>
      <c r="N248" s="1"/>
      <c r="O248" s="1"/>
      <c r="P248" s="1"/>
      <c r="Q248" s="1"/>
      <c r="R248" s="1"/>
      <c r="S248" s="1"/>
    </row>
    <row r="249" spans="1:19" ht="23" customHeight="1">
      <c r="A249" s="1" t="s">
        <v>306</v>
      </c>
      <c r="B249" s="4">
        <v>46034</v>
      </c>
      <c r="C249" s="1" t="s">
        <v>18</v>
      </c>
      <c r="D249" s="1" t="s">
        <v>65</v>
      </c>
      <c r="E249" s="5">
        <v>49000</v>
      </c>
      <c r="F249" s="1">
        <v>1</v>
      </c>
      <c r="G249" s="4">
        <v>46043</v>
      </c>
      <c r="H249" s="4">
        <v>46044</v>
      </c>
      <c r="I249" s="4">
        <v>46046</v>
      </c>
      <c r="J249" s="4"/>
      <c r="K249" s="1" t="s">
        <v>63</v>
      </c>
      <c r="L249" s="1"/>
      <c r="M249" s="1"/>
      <c r="N249" s="1"/>
      <c r="O249" s="1"/>
      <c r="P249" s="1"/>
      <c r="Q249" s="1"/>
      <c r="R249" s="1"/>
      <c r="S249" s="1"/>
    </row>
    <row r="250" spans="1:19" ht="23" customHeight="1">
      <c r="A250" s="1" t="s">
        <v>307</v>
      </c>
      <c r="B250" s="4">
        <v>46097</v>
      </c>
      <c r="C250" s="1" t="s">
        <v>18</v>
      </c>
      <c r="D250" s="1" t="s">
        <v>71</v>
      </c>
      <c r="E250" s="5">
        <v>14000</v>
      </c>
      <c r="F250" s="1">
        <v>0</v>
      </c>
      <c r="G250" s="4">
        <v>46098</v>
      </c>
      <c r="H250" s="4">
        <v>46102</v>
      </c>
      <c r="I250" s="4">
        <v>46103</v>
      </c>
      <c r="J250" s="4"/>
      <c r="K250" s="1" t="s">
        <v>55</v>
      </c>
      <c r="L250" s="1"/>
      <c r="M250" s="1"/>
      <c r="N250" s="1"/>
      <c r="O250" s="1"/>
      <c r="P250" s="1"/>
      <c r="Q250" s="1"/>
      <c r="R250" s="1"/>
      <c r="S250" s="1"/>
    </row>
    <row r="251" spans="1:19" ht="23" customHeight="1">
      <c r="A251" s="1" t="s">
        <v>308</v>
      </c>
      <c r="B251" s="4">
        <v>46050</v>
      </c>
      <c r="C251" s="1" t="s">
        <v>19</v>
      </c>
      <c r="D251" s="1" t="s">
        <v>54</v>
      </c>
      <c r="E251" s="5">
        <v>31000</v>
      </c>
      <c r="F251" s="1">
        <v>1</v>
      </c>
      <c r="G251" s="4"/>
      <c r="H251" s="4"/>
      <c r="I251" s="4"/>
      <c r="J251" s="4">
        <v>46052</v>
      </c>
      <c r="K251" s="1" t="s">
        <v>86</v>
      </c>
      <c r="L251" s="1"/>
      <c r="M251" s="1"/>
      <c r="N251" s="1"/>
      <c r="O251" s="1"/>
      <c r="P251" s="1"/>
      <c r="Q251" s="1"/>
      <c r="R251" s="1"/>
      <c r="S251" s="1"/>
    </row>
    <row r="252" spans="1:19" ht="23" customHeight="1">
      <c r="A252" s="1" t="s">
        <v>309</v>
      </c>
      <c r="B252" s="4">
        <v>46044</v>
      </c>
      <c r="C252" s="1" t="s">
        <v>18</v>
      </c>
      <c r="D252" s="1" t="s">
        <v>65</v>
      </c>
      <c r="E252" s="5">
        <v>39000</v>
      </c>
      <c r="F252" s="1">
        <v>1</v>
      </c>
      <c r="G252" s="4">
        <v>46054</v>
      </c>
      <c r="H252" s="4">
        <v>46057</v>
      </c>
      <c r="I252" s="4">
        <v>46059</v>
      </c>
      <c r="J252" s="4"/>
      <c r="K252" s="1" t="s">
        <v>63</v>
      </c>
      <c r="L252" s="1"/>
      <c r="M252" s="1"/>
      <c r="N252" s="1"/>
      <c r="O252" s="1"/>
      <c r="P252" s="1"/>
      <c r="Q252" s="1"/>
      <c r="R252" s="1"/>
      <c r="S252" s="1"/>
    </row>
    <row r="253" spans="1:19" ht="23" customHeight="1">
      <c r="A253" s="1" t="s">
        <v>310</v>
      </c>
      <c r="B253" s="4">
        <v>46032</v>
      </c>
      <c r="C253" s="1" t="s">
        <v>18</v>
      </c>
      <c r="D253" s="1" t="s">
        <v>59</v>
      </c>
      <c r="E253" s="5">
        <v>44000</v>
      </c>
      <c r="F253" s="1">
        <v>0</v>
      </c>
      <c r="G253" s="4">
        <v>46034</v>
      </c>
      <c r="H253" s="4">
        <v>46038</v>
      </c>
      <c r="I253" s="4">
        <v>46041</v>
      </c>
      <c r="J253" s="4"/>
      <c r="K253" s="1" t="s">
        <v>55</v>
      </c>
      <c r="L253" s="1"/>
      <c r="M253" s="1"/>
      <c r="N253" s="1"/>
      <c r="O253" s="1"/>
      <c r="P253" s="1"/>
      <c r="Q253" s="1"/>
      <c r="R253" s="1"/>
      <c r="S253" s="1"/>
    </row>
    <row r="254" spans="1:19" ht="23" customHeight="1">
      <c r="A254" s="1" t="s">
        <v>311</v>
      </c>
      <c r="B254" s="4">
        <v>46043</v>
      </c>
      <c r="C254" s="1" t="s">
        <v>19</v>
      </c>
      <c r="D254" s="1" t="s">
        <v>54</v>
      </c>
      <c r="E254" s="5">
        <v>27000</v>
      </c>
      <c r="F254" s="1">
        <v>0</v>
      </c>
      <c r="G254" s="4">
        <v>46043</v>
      </c>
      <c r="H254" s="4">
        <v>46049</v>
      </c>
      <c r="I254" s="4">
        <v>46052</v>
      </c>
      <c r="J254" s="4"/>
      <c r="K254" s="1" t="s">
        <v>55</v>
      </c>
      <c r="L254" s="1"/>
      <c r="M254" s="1"/>
      <c r="N254" s="1"/>
      <c r="O254" s="1"/>
      <c r="P254" s="1"/>
      <c r="Q254" s="1"/>
      <c r="R254" s="1"/>
      <c r="S254" s="1"/>
    </row>
    <row r="255" spans="1:19" ht="23" customHeight="1">
      <c r="A255" s="1" t="s">
        <v>312</v>
      </c>
      <c r="B255" s="4">
        <v>46065</v>
      </c>
      <c r="C255" s="1" t="s">
        <v>19</v>
      </c>
      <c r="D255" s="1" t="s">
        <v>54</v>
      </c>
      <c r="E255" s="5">
        <v>27000</v>
      </c>
      <c r="F255" s="1">
        <v>0</v>
      </c>
      <c r="G255" s="4">
        <v>46066</v>
      </c>
      <c r="H255" s="4">
        <v>46069</v>
      </c>
      <c r="I255" s="4">
        <v>46072</v>
      </c>
      <c r="J255" s="4"/>
      <c r="K255" s="1" t="s">
        <v>55</v>
      </c>
      <c r="L255" s="1"/>
      <c r="M255" s="1"/>
      <c r="N255" s="1"/>
      <c r="O255" s="1"/>
      <c r="P255" s="1"/>
      <c r="Q255" s="1"/>
      <c r="R255" s="1"/>
      <c r="S255" s="1"/>
    </row>
    <row r="256" spans="1:19" ht="23" customHeight="1">
      <c r="A256" s="1" t="s">
        <v>313</v>
      </c>
      <c r="B256" s="4">
        <v>46057</v>
      </c>
      <c r="C256" s="1" t="s">
        <v>18</v>
      </c>
      <c r="D256" s="1" t="s">
        <v>65</v>
      </c>
      <c r="E256" s="5">
        <v>43000</v>
      </c>
      <c r="F256" s="1">
        <v>1</v>
      </c>
      <c r="G256" s="4">
        <v>46064</v>
      </c>
      <c r="H256" s="4">
        <v>46070</v>
      </c>
      <c r="I256" s="4">
        <v>46072</v>
      </c>
      <c r="J256" s="4"/>
      <c r="K256" s="1" t="s">
        <v>55</v>
      </c>
      <c r="L256" s="1"/>
      <c r="M256" s="1"/>
      <c r="N256" s="1"/>
      <c r="O256" s="1"/>
      <c r="P256" s="1"/>
      <c r="Q256" s="1"/>
      <c r="R256" s="1"/>
      <c r="S256" s="1"/>
    </row>
    <row r="257" spans="1:19" ht="23" customHeight="1">
      <c r="A257" s="1" t="s">
        <v>314</v>
      </c>
      <c r="B257" s="4">
        <v>46043</v>
      </c>
      <c r="C257" s="1" t="s">
        <v>18</v>
      </c>
      <c r="D257" s="1" t="s">
        <v>65</v>
      </c>
      <c r="E257" s="5">
        <v>6000</v>
      </c>
      <c r="F257" s="1">
        <v>0</v>
      </c>
      <c r="G257" s="4">
        <v>46044</v>
      </c>
      <c r="H257" s="4">
        <v>46047</v>
      </c>
      <c r="I257" s="4">
        <v>46050</v>
      </c>
      <c r="J257" s="4"/>
      <c r="K257" s="1" t="s">
        <v>55</v>
      </c>
      <c r="L257" s="1"/>
      <c r="M257" s="1"/>
      <c r="N257" s="1"/>
      <c r="O257" s="1"/>
      <c r="P257" s="1"/>
      <c r="Q257" s="1"/>
      <c r="R257" s="1"/>
      <c r="S257" s="1"/>
    </row>
    <row r="258" spans="1:19" ht="23" customHeight="1">
      <c r="A258" s="1" t="s">
        <v>315</v>
      </c>
      <c r="B258" s="4">
        <v>46082</v>
      </c>
      <c r="C258" s="1" t="s">
        <v>18</v>
      </c>
      <c r="D258" s="1" t="s">
        <v>62</v>
      </c>
      <c r="E258" s="5">
        <v>27000</v>
      </c>
      <c r="F258" s="1">
        <v>0</v>
      </c>
      <c r="G258" s="4">
        <v>46084</v>
      </c>
      <c r="H258" s="4">
        <v>46087</v>
      </c>
      <c r="I258" s="4">
        <v>46090</v>
      </c>
      <c r="J258" s="4"/>
      <c r="K258" s="1" t="s">
        <v>55</v>
      </c>
      <c r="L258" s="1"/>
      <c r="M258" s="1"/>
      <c r="N258" s="1"/>
      <c r="O258" s="1"/>
      <c r="P258" s="1"/>
      <c r="Q258" s="1"/>
      <c r="R258" s="1"/>
      <c r="S258" s="1"/>
    </row>
    <row r="259" spans="1:19" ht="23" customHeight="1">
      <c r="A259" s="1" t="s">
        <v>316</v>
      </c>
      <c r="B259" s="4">
        <v>46055</v>
      </c>
      <c r="C259" s="1" t="s">
        <v>19</v>
      </c>
      <c r="D259" s="1" t="s">
        <v>54</v>
      </c>
      <c r="E259" s="5">
        <v>15000</v>
      </c>
      <c r="F259" s="1">
        <v>0</v>
      </c>
      <c r="G259" s="4">
        <v>46057</v>
      </c>
      <c r="H259" s="4">
        <v>46062</v>
      </c>
      <c r="I259" s="4">
        <v>46065</v>
      </c>
      <c r="J259" s="4"/>
      <c r="K259" s="1" t="s">
        <v>55</v>
      </c>
      <c r="L259" s="1"/>
      <c r="M259" s="1"/>
      <c r="N259" s="1"/>
      <c r="O259" s="1"/>
      <c r="P259" s="1"/>
      <c r="Q259" s="1"/>
      <c r="R259" s="1"/>
      <c r="S259" s="1"/>
    </row>
    <row r="260" spans="1:19" ht="23" customHeight="1">
      <c r="A260" s="1" t="s">
        <v>317</v>
      </c>
      <c r="B260" s="4">
        <v>46029</v>
      </c>
      <c r="C260" s="1" t="s">
        <v>19</v>
      </c>
      <c r="D260" s="1" t="s">
        <v>54</v>
      </c>
      <c r="E260" s="5">
        <v>30000</v>
      </c>
      <c r="F260" s="1">
        <v>0</v>
      </c>
      <c r="G260" s="4">
        <v>46030</v>
      </c>
      <c r="H260" s="4">
        <v>46035</v>
      </c>
      <c r="I260" s="4">
        <v>46036</v>
      </c>
      <c r="J260" s="4"/>
      <c r="K260" s="1" t="s">
        <v>55</v>
      </c>
      <c r="L260" s="1"/>
      <c r="M260" s="1"/>
      <c r="N260" s="1"/>
      <c r="O260" s="1"/>
      <c r="P260" s="1"/>
      <c r="Q260" s="1"/>
      <c r="R260" s="1"/>
      <c r="S260" s="1"/>
    </row>
    <row r="261" spans="1:19" ht="23" customHeight="1">
      <c r="A261" s="1" t="s">
        <v>318</v>
      </c>
      <c r="B261" s="4">
        <v>46095</v>
      </c>
      <c r="C261" s="1" t="s">
        <v>18</v>
      </c>
      <c r="D261" s="1" t="s">
        <v>59</v>
      </c>
      <c r="E261" s="5">
        <v>29000</v>
      </c>
      <c r="F261" s="1">
        <v>1</v>
      </c>
      <c r="G261" s="4">
        <v>46098</v>
      </c>
      <c r="H261" s="4">
        <v>46101</v>
      </c>
      <c r="I261" s="4">
        <v>46102</v>
      </c>
      <c r="J261" s="4"/>
      <c r="K261" s="1" t="s">
        <v>55</v>
      </c>
      <c r="L261" s="1"/>
      <c r="M261" s="1"/>
      <c r="N261" s="1"/>
      <c r="O261" s="1"/>
      <c r="P261" s="1"/>
      <c r="Q261" s="1"/>
      <c r="R261" s="1"/>
      <c r="S261" s="1"/>
    </row>
    <row r="262" spans="1:19" ht="23" customHeight="1">
      <c r="A262" s="1" t="s">
        <v>319</v>
      </c>
      <c r="B262" s="4">
        <v>46091</v>
      </c>
      <c r="C262" s="1" t="s">
        <v>18</v>
      </c>
      <c r="D262" s="1" t="s">
        <v>59</v>
      </c>
      <c r="E262" s="5">
        <v>23000</v>
      </c>
      <c r="F262" s="1">
        <v>1</v>
      </c>
      <c r="G262" s="4">
        <v>46098</v>
      </c>
      <c r="H262" s="4">
        <v>46103</v>
      </c>
      <c r="I262" s="4">
        <v>46106</v>
      </c>
      <c r="J262" s="4"/>
      <c r="K262" s="1" t="s">
        <v>63</v>
      </c>
      <c r="L262" s="1"/>
      <c r="M262" s="1"/>
      <c r="N262" s="1"/>
      <c r="O262" s="1"/>
      <c r="P262" s="1"/>
      <c r="Q262" s="1"/>
      <c r="R262" s="1"/>
      <c r="S262" s="1"/>
    </row>
    <row r="263" spans="1:19" ht="23" customHeight="1">
      <c r="A263" s="1" t="s">
        <v>320</v>
      </c>
      <c r="B263" s="4">
        <v>46083</v>
      </c>
      <c r="C263" s="1" t="s">
        <v>19</v>
      </c>
      <c r="D263" s="1" t="s">
        <v>54</v>
      </c>
      <c r="E263" s="5">
        <v>18000</v>
      </c>
      <c r="F263" s="1">
        <v>1</v>
      </c>
      <c r="G263" s="4">
        <v>46090</v>
      </c>
      <c r="H263" s="4">
        <v>46094</v>
      </c>
      <c r="I263" s="4">
        <v>46097</v>
      </c>
      <c r="J263" s="4"/>
      <c r="K263" s="1" t="s">
        <v>55</v>
      </c>
      <c r="L263" s="1"/>
      <c r="M263" s="1"/>
      <c r="N263" s="1"/>
      <c r="O263" s="1"/>
      <c r="P263" s="1"/>
      <c r="Q263" s="1"/>
      <c r="R263" s="1"/>
      <c r="S263" s="1"/>
    </row>
    <row r="264" spans="1:19" ht="23" customHeight="1">
      <c r="A264" s="1" t="s">
        <v>321</v>
      </c>
      <c r="B264" s="4">
        <v>46101</v>
      </c>
      <c r="C264" s="1" t="s">
        <v>19</v>
      </c>
      <c r="D264" s="1" t="s">
        <v>54</v>
      </c>
      <c r="E264" s="5">
        <v>19000</v>
      </c>
      <c r="F264" s="1">
        <v>0</v>
      </c>
      <c r="G264" s="4">
        <v>46101</v>
      </c>
      <c r="H264" s="4">
        <v>46105</v>
      </c>
      <c r="I264" s="4">
        <v>46108</v>
      </c>
      <c r="J264" s="4"/>
      <c r="K264" s="1" t="s">
        <v>55</v>
      </c>
      <c r="L264" s="1"/>
      <c r="M264" s="1"/>
      <c r="N264" s="1"/>
      <c r="O264" s="1"/>
      <c r="P264" s="1"/>
      <c r="Q264" s="1"/>
      <c r="R264" s="1"/>
      <c r="S264" s="1"/>
    </row>
    <row r="265" spans="1:19" ht="23" customHeight="1">
      <c r="A265" s="1" t="s">
        <v>322</v>
      </c>
      <c r="B265" s="4">
        <v>46103</v>
      </c>
      <c r="C265" s="1" t="s">
        <v>19</v>
      </c>
      <c r="D265" s="1" t="s">
        <v>54</v>
      </c>
      <c r="E265" s="5">
        <v>6000</v>
      </c>
      <c r="F265" s="1">
        <v>0</v>
      </c>
      <c r="G265" s="4">
        <v>46103</v>
      </c>
      <c r="H265" s="4">
        <v>46108</v>
      </c>
      <c r="I265" s="4">
        <v>46111</v>
      </c>
      <c r="J265" s="4"/>
      <c r="K265" s="1" t="s">
        <v>55</v>
      </c>
      <c r="L265" s="1"/>
      <c r="M265" s="1"/>
      <c r="N265" s="1"/>
      <c r="O265" s="1"/>
      <c r="P265" s="1"/>
      <c r="Q265" s="1"/>
      <c r="R265" s="1"/>
      <c r="S265" s="1"/>
    </row>
    <row r="266" spans="1:19" ht="23" customHeight="1">
      <c r="A266" s="1" t="s">
        <v>323</v>
      </c>
      <c r="B266" s="4">
        <v>46044</v>
      </c>
      <c r="C266" s="1" t="s">
        <v>18</v>
      </c>
      <c r="D266" s="1" t="s">
        <v>62</v>
      </c>
      <c r="E266" s="5">
        <v>7000</v>
      </c>
      <c r="F266" s="1">
        <v>1</v>
      </c>
      <c r="G266" s="4"/>
      <c r="H266" s="4"/>
      <c r="I266" s="4"/>
      <c r="J266" s="4">
        <v>46049</v>
      </c>
      <c r="K266" s="1" t="s">
        <v>86</v>
      </c>
      <c r="L266" s="1"/>
      <c r="M266" s="1"/>
      <c r="N266" s="1"/>
      <c r="O266" s="1"/>
      <c r="P266" s="1"/>
      <c r="Q266" s="1"/>
      <c r="R266" s="1"/>
      <c r="S266" s="1"/>
    </row>
    <row r="267" spans="1:19" ht="23" customHeight="1">
      <c r="A267" s="1" t="s">
        <v>324</v>
      </c>
      <c r="B267" s="4">
        <v>46044</v>
      </c>
      <c r="C267" s="1" t="s">
        <v>18</v>
      </c>
      <c r="D267" s="1" t="s">
        <v>59</v>
      </c>
      <c r="E267" s="5">
        <v>25000</v>
      </c>
      <c r="F267" s="1">
        <v>0</v>
      </c>
      <c r="G267" s="4">
        <v>46044</v>
      </c>
      <c r="H267" s="4">
        <v>46050</v>
      </c>
      <c r="I267" s="4">
        <v>46052</v>
      </c>
      <c r="J267" s="4"/>
      <c r="K267" s="1" t="s">
        <v>55</v>
      </c>
      <c r="L267" s="1"/>
      <c r="M267" s="1"/>
      <c r="N267" s="1"/>
      <c r="O267" s="1"/>
      <c r="P267" s="1"/>
      <c r="Q267" s="1"/>
      <c r="R267" s="1"/>
      <c r="S267" s="1"/>
    </row>
    <row r="268" spans="1:19" ht="23" customHeight="1">
      <c r="A268" s="1" t="s">
        <v>325</v>
      </c>
      <c r="B268" s="4">
        <v>46089</v>
      </c>
      <c r="C268" s="1" t="s">
        <v>19</v>
      </c>
      <c r="D268" s="1" t="s">
        <v>54</v>
      </c>
      <c r="E268" s="5">
        <v>6000</v>
      </c>
      <c r="F268" s="1">
        <v>1</v>
      </c>
      <c r="G268" s="4">
        <v>46092</v>
      </c>
      <c r="H268" s="4">
        <v>46094</v>
      </c>
      <c r="I268" s="4">
        <v>46095</v>
      </c>
      <c r="J268" s="4"/>
      <c r="K268" s="1" t="s">
        <v>55</v>
      </c>
      <c r="L268" s="1"/>
      <c r="M268" s="1"/>
      <c r="N268" s="1"/>
      <c r="O268" s="1"/>
      <c r="P268" s="1"/>
      <c r="Q268" s="1"/>
      <c r="R268" s="1"/>
      <c r="S268" s="1"/>
    </row>
    <row r="269" spans="1:19" ht="23" customHeight="1">
      <c r="A269" s="1" t="s">
        <v>326</v>
      </c>
      <c r="B269" s="4">
        <v>46074</v>
      </c>
      <c r="C269" s="1" t="s">
        <v>18</v>
      </c>
      <c r="D269" s="1" t="s">
        <v>71</v>
      </c>
      <c r="E269" s="5">
        <v>43000</v>
      </c>
      <c r="F269" s="1">
        <v>0</v>
      </c>
      <c r="G269" s="4">
        <v>46075</v>
      </c>
      <c r="H269" s="4">
        <v>46079</v>
      </c>
      <c r="I269" s="4">
        <v>46081</v>
      </c>
      <c r="J269" s="4"/>
      <c r="K269" s="1" t="s">
        <v>55</v>
      </c>
      <c r="L269" s="1"/>
      <c r="M269" s="1"/>
      <c r="N269" s="1"/>
      <c r="O269" s="1"/>
      <c r="P269" s="1"/>
      <c r="Q269" s="1"/>
      <c r="R269" s="1"/>
      <c r="S269" s="1"/>
    </row>
    <row r="270" spans="1:19" ht="23" customHeight="1">
      <c r="A270" s="1" t="s">
        <v>327</v>
      </c>
      <c r="B270" s="4">
        <v>46036</v>
      </c>
      <c r="C270" s="1" t="s">
        <v>18</v>
      </c>
      <c r="D270" s="1" t="s">
        <v>71</v>
      </c>
      <c r="E270" s="5">
        <v>43000</v>
      </c>
      <c r="F270" s="1">
        <v>0</v>
      </c>
      <c r="G270" s="4">
        <v>46038</v>
      </c>
      <c r="H270" s="4">
        <v>46040</v>
      </c>
      <c r="I270" s="4">
        <v>46043</v>
      </c>
      <c r="J270" s="4"/>
      <c r="K270" s="1" t="s">
        <v>55</v>
      </c>
      <c r="L270" s="1"/>
      <c r="M270" s="1"/>
      <c r="N270" s="1"/>
      <c r="O270" s="1"/>
      <c r="P270" s="1"/>
      <c r="Q270" s="1"/>
      <c r="R270" s="1"/>
      <c r="S270" s="1"/>
    </row>
    <row r="271" spans="1:19" ht="23" customHeight="1">
      <c r="A271" s="1" t="s">
        <v>328</v>
      </c>
      <c r="B271" s="4">
        <v>46108</v>
      </c>
      <c r="C271" s="1" t="s">
        <v>18</v>
      </c>
      <c r="D271" s="1" t="s">
        <v>65</v>
      </c>
      <c r="E271" s="5">
        <v>27000</v>
      </c>
      <c r="F271" s="1">
        <v>0</v>
      </c>
      <c r="G271" s="4">
        <v>46109</v>
      </c>
      <c r="H271" s="4">
        <v>46111</v>
      </c>
      <c r="I271" s="4">
        <v>46112</v>
      </c>
      <c r="J271" s="4"/>
      <c r="K271" s="1" t="s">
        <v>55</v>
      </c>
      <c r="L271" s="1"/>
      <c r="M271" s="1"/>
      <c r="N271" s="1"/>
      <c r="O271" s="1"/>
      <c r="P271" s="1"/>
      <c r="Q271" s="1"/>
      <c r="R271" s="1"/>
      <c r="S271" s="1"/>
    </row>
    <row r="272" spans="1:19" ht="23" customHeight="1">
      <c r="A272" s="1" t="s">
        <v>329</v>
      </c>
      <c r="B272" s="4">
        <v>46051</v>
      </c>
      <c r="C272" s="1" t="s">
        <v>18</v>
      </c>
      <c r="D272" s="1" t="s">
        <v>65</v>
      </c>
      <c r="E272" s="5">
        <v>16000</v>
      </c>
      <c r="F272" s="1">
        <v>1</v>
      </c>
      <c r="G272" s="4">
        <v>46060</v>
      </c>
      <c r="H272" s="4">
        <v>46063</v>
      </c>
      <c r="I272" s="4">
        <v>46064</v>
      </c>
      <c r="J272" s="4"/>
      <c r="K272" s="1" t="s">
        <v>63</v>
      </c>
      <c r="L272" s="1"/>
      <c r="M272" s="1"/>
      <c r="N272" s="1"/>
      <c r="O272" s="1"/>
      <c r="P272" s="1"/>
      <c r="Q272" s="1"/>
      <c r="R272" s="1"/>
      <c r="S272" s="1"/>
    </row>
    <row r="273" spans="1:19" ht="23" customHeight="1">
      <c r="A273" s="1" t="s">
        <v>330</v>
      </c>
      <c r="B273" s="4">
        <v>46109</v>
      </c>
      <c r="C273" s="1" t="s">
        <v>19</v>
      </c>
      <c r="D273" s="1" t="s">
        <v>54</v>
      </c>
      <c r="E273" s="5">
        <v>39000</v>
      </c>
      <c r="F273" s="1">
        <v>0</v>
      </c>
      <c r="G273" s="4">
        <v>46110</v>
      </c>
      <c r="H273" s="4"/>
      <c r="I273" s="4"/>
      <c r="J273" s="4"/>
      <c r="K273" s="1" t="s">
        <v>69</v>
      </c>
      <c r="L273" s="1"/>
      <c r="M273" s="1"/>
      <c r="N273" s="1"/>
      <c r="O273" s="1"/>
      <c r="P273" s="1"/>
      <c r="Q273" s="1"/>
      <c r="R273" s="1"/>
      <c r="S273" s="1"/>
    </row>
    <row r="274" spans="1:19" ht="23" customHeight="1">
      <c r="A274" s="1" t="s">
        <v>331</v>
      </c>
      <c r="B274" s="4">
        <v>46056</v>
      </c>
      <c r="C274" s="1" t="s">
        <v>18</v>
      </c>
      <c r="D274" s="1" t="s">
        <v>62</v>
      </c>
      <c r="E274" s="5">
        <v>21000</v>
      </c>
      <c r="F274" s="1">
        <v>0</v>
      </c>
      <c r="G274" s="4">
        <v>46057</v>
      </c>
      <c r="H274" s="4">
        <v>46065</v>
      </c>
      <c r="I274" s="4">
        <v>46067</v>
      </c>
      <c r="J274" s="4"/>
      <c r="K274" s="1" t="s">
        <v>55</v>
      </c>
      <c r="L274" s="1"/>
      <c r="M274" s="1"/>
      <c r="N274" s="1"/>
      <c r="O274" s="1"/>
      <c r="P274" s="1"/>
      <c r="Q274" s="1"/>
      <c r="R274" s="1"/>
      <c r="S274" s="1"/>
    </row>
    <row r="275" spans="1:19" ht="23" customHeight="1">
      <c r="A275" s="1" t="s">
        <v>332</v>
      </c>
      <c r="B275" s="4">
        <v>46110</v>
      </c>
      <c r="C275" s="1" t="s">
        <v>19</v>
      </c>
      <c r="D275" s="1" t="s">
        <v>54</v>
      </c>
      <c r="E275" s="5">
        <v>43000</v>
      </c>
      <c r="F275" s="1">
        <v>1</v>
      </c>
      <c r="G275" s="4"/>
      <c r="H275" s="4"/>
      <c r="I275" s="4"/>
      <c r="J275" s="4">
        <v>46111</v>
      </c>
      <c r="K275" s="1" t="s">
        <v>86</v>
      </c>
      <c r="L275" s="1"/>
      <c r="M275" s="1"/>
      <c r="N275" s="1"/>
      <c r="O275" s="1"/>
      <c r="P275" s="1"/>
      <c r="Q275" s="1"/>
      <c r="R275" s="1"/>
      <c r="S275" s="1"/>
    </row>
    <row r="276" spans="1:19" ht="23" customHeight="1">
      <c r="A276" s="1" t="s">
        <v>333</v>
      </c>
      <c r="B276" s="4">
        <v>46105</v>
      </c>
      <c r="C276" s="1" t="s">
        <v>18</v>
      </c>
      <c r="D276" s="1" t="s">
        <v>62</v>
      </c>
      <c r="E276" s="5">
        <v>28000</v>
      </c>
      <c r="F276" s="1">
        <v>1</v>
      </c>
      <c r="G276" s="4"/>
      <c r="H276" s="4"/>
      <c r="I276" s="4"/>
      <c r="J276" s="4">
        <v>46107</v>
      </c>
      <c r="K276" s="1" t="s">
        <v>86</v>
      </c>
      <c r="L276" s="1"/>
      <c r="M276" s="1"/>
      <c r="N276" s="1"/>
      <c r="O276" s="1"/>
      <c r="P276" s="1"/>
      <c r="Q276" s="1"/>
      <c r="R276" s="1"/>
      <c r="S276" s="1"/>
    </row>
    <row r="277" spans="1:19" ht="23" customHeight="1">
      <c r="A277" s="1" t="s">
        <v>334</v>
      </c>
      <c r="B277" s="4">
        <v>46112</v>
      </c>
      <c r="C277" s="1" t="s">
        <v>19</v>
      </c>
      <c r="D277" s="1" t="s">
        <v>54</v>
      </c>
      <c r="E277" s="5">
        <v>24000</v>
      </c>
      <c r="F277" s="1">
        <v>0</v>
      </c>
      <c r="G277" s="4">
        <v>46112</v>
      </c>
      <c r="H277" s="4"/>
      <c r="I277" s="4"/>
      <c r="J277" s="4"/>
      <c r="K277" s="1" t="s">
        <v>69</v>
      </c>
      <c r="L277" s="1"/>
      <c r="M277" s="1"/>
      <c r="N277" s="1"/>
      <c r="O277" s="1"/>
      <c r="P277" s="1"/>
      <c r="Q277" s="1"/>
      <c r="R277" s="1"/>
      <c r="S277" s="1"/>
    </row>
    <row r="278" spans="1:19" ht="23" customHeight="1">
      <c r="A278" s="1" t="s">
        <v>335</v>
      </c>
      <c r="B278" s="4">
        <v>46047</v>
      </c>
      <c r="C278" s="1" t="s">
        <v>18</v>
      </c>
      <c r="D278" s="1" t="s">
        <v>62</v>
      </c>
      <c r="E278" s="5">
        <v>26000</v>
      </c>
      <c r="F278" s="1">
        <v>0</v>
      </c>
      <c r="G278" s="4">
        <v>46049</v>
      </c>
      <c r="H278" s="4">
        <v>46056</v>
      </c>
      <c r="I278" s="4">
        <v>46057</v>
      </c>
      <c r="J278" s="4"/>
      <c r="K278" s="1" t="s">
        <v>55</v>
      </c>
      <c r="L278" s="1"/>
      <c r="M278" s="1"/>
      <c r="N278" s="1"/>
      <c r="O278" s="1"/>
      <c r="P278" s="1"/>
      <c r="Q278" s="1"/>
      <c r="R278" s="1"/>
      <c r="S278" s="1"/>
    </row>
    <row r="279" spans="1:19" ht="23" customHeight="1">
      <c r="A279" s="1" t="s">
        <v>336</v>
      </c>
      <c r="B279" s="4">
        <v>46101</v>
      </c>
      <c r="C279" s="1" t="s">
        <v>18</v>
      </c>
      <c r="D279" s="1" t="s">
        <v>65</v>
      </c>
      <c r="E279" s="5">
        <v>22000</v>
      </c>
      <c r="F279" s="1">
        <v>0</v>
      </c>
      <c r="G279" s="4">
        <v>46101</v>
      </c>
      <c r="H279" s="4">
        <v>46104</v>
      </c>
      <c r="I279" s="4">
        <v>46107</v>
      </c>
      <c r="J279" s="4"/>
      <c r="K279" s="1" t="s">
        <v>55</v>
      </c>
      <c r="L279" s="1"/>
      <c r="M279" s="1"/>
      <c r="N279" s="1"/>
      <c r="O279" s="1"/>
      <c r="P279" s="1"/>
      <c r="Q279" s="1"/>
      <c r="R279" s="1"/>
      <c r="S279" s="1"/>
    </row>
    <row r="280" spans="1:19" ht="23" customHeight="1">
      <c r="A280" s="1" t="s">
        <v>337</v>
      </c>
      <c r="B280" s="4">
        <v>46043</v>
      </c>
      <c r="C280" s="1" t="s">
        <v>18</v>
      </c>
      <c r="D280" s="1" t="s">
        <v>71</v>
      </c>
      <c r="E280" s="5">
        <v>5000</v>
      </c>
      <c r="F280" s="1">
        <v>0</v>
      </c>
      <c r="G280" s="4">
        <v>46044</v>
      </c>
      <c r="H280" s="4">
        <v>46045</v>
      </c>
      <c r="I280" s="4">
        <v>46048</v>
      </c>
      <c r="J280" s="4"/>
      <c r="K280" s="1" t="s">
        <v>55</v>
      </c>
      <c r="L280" s="1"/>
      <c r="M280" s="1"/>
      <c r="N280" s="1"/>
      <c r="O280" s="1"/>
      <c r="P280" s="1"/>
      <c r="Q280" s="1"/>
      <c r="R280" s="1"/>
      <c r="S280" s="1"/>
    </row>
    <row r="281" spans="1:19" ht="23" customHeight="1">
      <c r="A281" s="1" t="s">
        <v>338</v>
      </c>
      <c r="B281" s="4">
        <v>46054</v>
      </c>
      <c r="C281" s="1" t="s">
        <v>19</v>
      </c>
      <c r="D281" s="1" t="s">
        <v>54</v>
      </c>
      <c r="E281" s="5">
        <v>34000</v>
      </c>
      <c r="F281" s="1">
        <v>0</v>
      </c>
      <c r="G281" s="4">
        <v>46055</v>
      </c>
      <c r="H281" s="4">
        <v>46056</v>
      </c>
      <c r="I281" s="4">
        <v>46059</v>
      </c>
      <c r="J281" s="4"/>
      <c r="K281" s="1" t="s">
        <v>55</v>
      </c>
      <c r="L281" s="1"/>
      <c r="M281" s="1"/>
      <c r="N281" s="1"/>
      <c r="O281" s="1"/>
      <c r="P281" s="1"/>
      <c r="Q281" s="1"/>
      <c r="R281" s="1"/>
      <c r="S281" s="1"/>
    </row>
    <row r="282" spans="1:19" ht="23" customHeight="1">
      <c r="A282" s="1" t="s">
        <v>339</v>
      </c>
      <c r="B282" s="4">
        <v>46058</v>
      </c>
      <c r="C282" s="1" t="s">
        <v>18</v>
      </c>
      <c r="D282" s="1" t="s">
        <v>62</v>
      </c>
      <c r="E282" s="5">
        <v>39000</v>
      </c>
      <c r="F282" s="1">
        <v>0</v>
      </c>
      <c r="G282" s="4">
        <v>46058</v>
      </c>
      <c r="H282" s="4">
        <v>46064</v>
      </c>
      <c r="I282" s="4">
        <v>46066</v>
      </c>
      <c r="J282" s="4"/>
      <c r="K282" s="1" t="s">
        <v>55</v>
      </c>
      <c r="L282" s="1"/>
      <c r="M282" s="1"/>
      <c r="N282" s="1"/>
      <c r="O282" s="1"/>
      <c r="P282" s="1"/>
      <c r="Q282" s="1"/>
      <c r="R282" s="1"/>
      <c r="S282" s="1"/>
    </row>
    <row r="283" spans="1:19" ht="23" customHeight="1">
      <c r="A283" s="1" t="s">
        <v>340</v>
      </c>
      <c r="B283" s="4">
        <v>46045</v>
      </c>
      <c r="C283" s="1" t="s">
        <v>18</v>
      </c>
      <c r="D283" s="1" t="s">
        <v>59</v>
      </c>
      <c r="E283" s="5">
        <v>44000</v>
      </c>
      <c r="F283" s="1">
        <v>1</v>
      </c>
      <c r="G283" s="4">
        <v>46054</v>
      </c>
      <c r="H283" s="4">
        <v>46058</v>
      </c>
      <c r="I283" s="4">
        <v>46059</v>
      </c>
      <c r="J283" s="4"/>
      <c r="K283" s="1" t="s">
        <v>55</v>
      </c>
      <c r="L283" s="1"/>
      <c r="M283" s="1"/>
      <c r="N283" s="1"/>
      <c r="O283" s="1"/>
      <c r="P283" s="1"/>
      <c r="Q283" s="1"/>
      <c r="R283" s="1"/>
      <c r="S283" s="1"/>
    </row>
    <row r="284" spans="1:19" ht="23" customHeight="1">
      <c r="A284" s="1" t="s">
        <v>341</v>
      </c>
      <c r="B284" s="4">
        <v>46040</v>
      </c>
      <c r="C284" s="1" t="s">
        <v>18</v>
      </c>
      <c r="D284" s="1" t="s">
        <v>59</v>
      </c>
      <c r="E284" s="5">
        <v>37000</v>
      </c>
      <c r="F284" s="1">
        <v>0</v>
      </c>
      <c r="G284" s="4">
        <v>46042</v>
      </c>
      <c r="H284" s="4">
        <v>46048</v>
      </c>
      <c r="I284" s="4">
        <v>46049</v>
      </c>
      <c r="J284" s="4"/>
      <c r="K284" s="1" t="s">
        <v>55</v>
      </c>
      <c r="L284" s="1"/>
      <c r="M284" s="1"/>
      <c r="N284" s="1"/>
      <c r="O284" s="1"/>
      <c r="P284" s="1"/>
      <c r="Q284" s="1"/>
      <c r="R284" s="1"/>
      <c r="S284" s="1"/>
    </row>
    <row r="285" spans="1:19" ht="23" customHeight="1">
      <c r="A285" s="1" t="s">
        <v>342</v>
      </c>
      <c r="B285" s="4">
        <v>46036</v>
      </c>
      <c r="C285" s="1" t="s">
        <v>18</v>
      </c>
      <c r="D285" s="1" t="s">
        <v>71</v>
      </c>
      <c r="E285" s="5">
        <v>50000</v>
      </c>
      <c r="F285" s="1">
        <v>0</v>
      </c>
      <c r="G285" s="4">
        <v>46037</v>
      </c>
      <c r="H285" s="4">
        <v>46041</v>
      </c>
      <c r="I285" s="4">
        <v>46043</v>
      </c>
      <c r="J285" s="4"/>
      <c r="K285" s="1" t="s">
        <v>63</v>
      </c>
      <c r="L285" s="1"/>
      <c r="M285" s="1"/>
      <c r="N285" s="1"/>
      <c r="O285" s="1"/>
      <c r="P285" s="1"/>
      <c r="Q285" s="1"/>
      <c r="R285" s="1"/>
      <c r="S285" s="1"/>
    </row>
    <row r="286" spans="1:19" ht="23" customHeight="1">
      <c r="A286" s="1" t="s">
        <v>343</v>
      </c>
      <c r="B286" s="4">
        <v>46089</v>
      </c>
      <c r="C286" s="1" t="s">
        <v>18</v>
      </c>
      <c r="D286" s="1" t="s">
        <v>62</v>
      </c>
      <c r="E286" s="5">
        <v>21000</v>
      </c>
      <c r="F286" s="1">
        <v>1</v>
      </c>
      <c r="G286" s="4"/>
      <c r="H286" s="4"/>
      <c r="I286" s="4"/>
      <c r="J286" s="4">
        <v>46094</v>
      </c>
      <c r="K286" s="1" t="s">
        <v>86</v>
      </c>
      <c r="L286" s="1"/>
      <c r="M286" s="1"/>
      <c r="N286" s="1"/>
      <c r="O286" s="1"/>
      <c r="P286" s="1"/>
      <c r="Q286" s="1"/>
      <c r="R286" s="1"/>
      <c r="S286" s="1"/>
    </row>
    <row r="287" spans="1:19" ht="23" customHeight="1">
      <c r="A287" s="1" t="s">
        <v>344</v>
      </c>
      <c r="B287" s="4">
        <v>46039</v>
      </c>
      <c r="C287" s="1" t="s">
        <v>19</v>
      </c>
      <c r="D287" s="1" t="s">
        <v>54</v>
      </c>
      <c r="E287" s="5">
        <v>37000</v>
      </c>
      <c r="F287" s="1">
        <v>0</v>
      </c>
      <c r="G287" s="4">
        <v>46039</v>
      </c>
      <c r="H287" s="4">
        <v>46040</v>
      </c>
      <c r="I287" s="4">
        <v>46042</v>
      </c>
      <c r="J287" s="4"/>
      <c r="K287" s="1" t="s">
        <v>55</v>
      </c>
      <c r="L287" s="1"/>
      <c r="M287" s="1"/>
      <c r="N287" s="1"/>
      <c r="O287" s="1"/>
      <c r="P287" s="1"/>
      <c r="Q287" s="1"/>
      <c r="R287" s="1"/>
      <c r="S287" s="1"/>
    </row>
    <row r="288" spans="1:19" ht="23" customHeight="1">
      <c r="A288" s="1" t="s">
        <v>345</v>
      </c>
      <c r="B288" s="4">
        <v>46088</v>
      </c>
      <c r="C288" s="1" t="s">
        <v>18</v>
      </c>
      <c r="D288" s="1" t="s">
        <v>59</v>
      </c>
      <c r="E288" s="5">
        <v>14000</v>
      </c>
      <c r="F288" s="1">
        <v>0</v>
      </c>
      <c r="G288" s="4">
        <v>46089</v>
      </c>
      <c r="H288" s="4">
        <v>46095</v>
      </c>
      <c r="I288" s="4">
        <v>46098</v>
      </c>
      <c r="J288" s="4"/>
      <c r="K288" s="1" t="s">
        <v>55</v>
      </c>
      <c r="L288" s="1"/>
      <c r="M288" s="1"/>
      <c r="N288" s="1"/>
      <c r="O288" s="1"/>
      <c r="P288" s="1"/>
      <c r="Q288" s="1"/>
      <c r="R288" s="1"/>
      <c r="S288" s="1"/>
    </row>
    <row r="289" spans="1:19" ht="23" customHeight="1">
      <c r="A289" s="1" t="s">
        <v>346</v>
      </c>
      <c r="B289" s="4">
        <v>46076</v>
      </c>
      <c r="C289" s="1" t="s">
        <v>18</v>
      </c>
      <c r="D289" s="1" t="s">
        <v>62</v>
      </c>
      <c r="E289" s="5">
        <v>14000</v>
      </c>
      <c r="F289" s="1">
        <v>1</v>
      </c>
      <c r="G289" s="4">
        <v>46084</v>
      </c>
      <c r="H289" s="4">
        <v>46092</v>
      </c>
      <c r="I289" s="4">
        <v>46094</v>
      </c>
      <c r="J289" s="4"/>
      <c r="K289" s="1" t="s">
        <v>55</v>
      </c>
      <c r="L289" s="1"/>
      <c r="M289" s="1"/>
      <c r="N289" s="1"/>
      <c r="O289" s="1"/>
      <c r="P289" s="1"/>
      <c r="Q289" s="1"/>
      <c r="R289" s="1"/>
      <c r="S289" s="1"/>
    </row>
    <row r="290" spans="1:19" ht="23" customHeight="1">
      <c r="A290" s="1" t="s">
        <v>347</v>
      </c>
      <c r="B290" s="4">
        <v>46057</v>
      </c>
      <c r="C290" s="1" t="s">
        <v>19</v>
      </c>
      <c r="D290" s="1" t="s">
        <v>54</v>
      </c>
      <c r="E290" s="5">
        <v>33000</v>
      </c>
      <c r="F290" s="1">
        <v>0</v>
      </c>
      <c r="G290" s="4">
        <v>46059</v>
      </c>
      <c r="H290" s="4">
        <v>46061</v>
      </c>
      <c r="I290" s="4">
        <v>46062</v>
      </c>
      <c r="J290" s="4"/>
      <c r="K290" s="1" t="s">
        <v>55</v>
      </c>
      <c r="L290" s="1"/>
      <c r="M290" s="1"/>
      <c r="N290" s="1"/>
      <c r="O290" s="1"/>
      <c r="P290" s="1"/>
      <c r="Q290" s="1"/>
      <c r="R290" s="1"/>
      <c r="S290" s="1"/>
    </row>
    <row r="291" spans="1:19" ht="23" customHeight="1">
      <c r="A291" s="1" t="s">
        <v>348</v>
      </c>
      <c r="B291" s="4">
        <v>46046</v>
      </c>
      <c r="C291" s="1" t="s">
        <v>19</v>
      </c>
      <c r="D291" s="1" t="s">
        <v>54</v>
      </c>
      <c r="E291" s="5">
        <v>11000</v>
      </c>
      <c r="F291" s="1">
        <v>0</v>
      </c>
      <c r="G291" s="4">
        <v>46047</v>
      </c>
      <c r="H291" s="4">
        <v>46048</v>
      </c>
      <c r="I291" s="4">
        <v>46051</v>
      </c>
      <c r="J291" s="4"/>
      <c r="K291" s="1" t="s">
        <v>55</v>
      </c>
      <c r="L291" s="1"/>
      <c r="M291" s="1"/>
      <c r="N291" s="1"/>
      <c r="O291" s="1"/>
      <c r="P291" s="1"/>
      <c r="Q291" s="1"/>
      <c r="R291" s="1"/>
      <c r="S291" s="1"/>
    </row>
    <row r="292" spans="1:19" ht="23" customHeight="1">
      <c r="A292" s="1" t="s">
        <v>349</v>
      </c>
      <c r="B292" s="4">
        <v>46069</v>
      </c>
      <c r="C292" s="1" t="s">
        <v>19</v>
      </c>
      <c r="D292" s="1" t="s">
        <v>54</v>
      </c>
      <c r="E292" s="5">
        <v>40000</v>
      </c>
      <c r="F292" s="1">
        <v>0</v>
      </c>
      <c r="G292" s="4">
        <v>46069</v>
      </c>
      <c r="H292" s="4">
        <v>46070</v>
      </c>
      <c r="I292" s="4">
        <v>46071</v>
      </c>
      <c r="J292" s="4"/>
      <c r="K292" s="1" t="s">
        <v>55</v>
      </c>
      <c r="L292" s="1"/>
      <c r="M292" s="1"/>
      <c r="N292" s="1"/>
      <c r="O292" s="1"/>
      <c r="P292" s="1"/>
      <c r="Q292" s="1"/>
      <c r="R292" s="1"/>
      <c r="S292" s="1"/>
    </row>
    <row r="293" spans="1:19" ht="23" customHeight="1">
      <c r="A293" s="1" t="s">
        <v>350</v>
      </c>
      <c r="B293" s="4">
        <v>46039</v>
      </c>
      <c r="C293" s="1" t="s">
        <v>18</v>
      </c>
      <c r="D293" s="1" t="s">
        <v>59</v>
      </c>
      <c r="E293" s="5">
        <v>13000</v>
      </c>
      <c r="F293" s="1">
        <v>1</v>
      </c>
      <c r="G293" s="4">
        <v>46049</v>
      </c>
      <c r="H293" s="4">
        <v>46055</v>
      </c>
      <c r="I293" s="4">
        <v>46058</v>
      </c>
      <c r="J293" s="4"/>
      <c r="K293" s="1" t="s">
        <v>55</v>
      </c>
      <c r="L293" s="1"/>
      <c r="M293" s="1"/>
      <c r="N293" s="1"/>
      <c r="O293" s="1"/>
      <c r="P293" s="1"/>
      <c r="Q293" s="1"/>
      <c r="R293" s="1"/>
      <c r="S293" s="1"/>
    </row>
    <row r="294" spans="1:19" ht="23" customHeight="1">
      <c r="A294" s="1" t="s">
        <v>351</v>
      </c>
      <c r="B294" s="4">
        <v>46082</v>
      </c>
      <c r="C294" s="1" t="s">
        <v>19</v>
      </c>
      <c r="D294" s="1" t="s">
        <v>54</v>
      </c>
      <c r="E294" s="5">
        <v>44000</v>
      </c>
      <c r="F294" s="1">
        <v>0</v>
      </c>
      <c r="G294" s="4">
        <v>46084</v>
      </c>
      <c r="H294" s="4">
        <v>46088</v>
      </c>
      <c r="I294" s="4">
        <v>46089</v>
      </c>
      <c r="J294" s="4"/>
      <c r="K294" s="1" t="s">
        <v>63</v>
      </c>
      <c r="L294" s="1"/>
      <c r="M294" s="1"/>
      <c r="N294" s="1"/>
      <c r="O294" s="1"/>
      <c r="P294" s="1"/>
      <c r="Q294" s="1"/>
      <c r="R294" s="1"/>
      <c r="S294" s="1"/>
    </row>
    <row r="295" spans="1:19" ht="23" customHeight="1">
      <c r="A295" s="1" t="s">
        <v>352</v>
      </c>
      <c r="B295" s="4">
        <v>46070</v>
      </c>
      <c r="C295" s="1" t="s">
        <v>18</v>
      </c>
      <c r="D295" s="1" t="s">
        <v>71</v>
      </c>
      <c r="E295" s="5">
        <v>17000</v>
      </c>
      <c r="F295" s="1">
        <v>0</v>
      </c>
      <c r="G295" s="4">
        <v>46072</v>
      </c>
      <c r="H295" s="4">
        <v>46074</v>
      </c>
      <c r="I295" s="4">
        <v>46076</v>
      </c>
      <c r="J295" s="4"/>
      <c r="K295" s="1" t="s">
        <v>55</v>
      </c>
      <c r="L295" s="1"/>
      <c r="M295" s="1"/>
      <c r="N295" s="1"/>
      <c r="O295" s="1"/>
      <c r="P295" s="1"/>
      <c r="Q295" s="1"/>
      <c r="R295" s="1"/>
      <c r="S295" s="1"/>
    </row>
    <row r="296" spans="1:19" ht="23" customHeight="1">
      <c r="A296" s="1" t="s">
        <v>353</v>
      </c>
      <c r="B296" s="4">
        <v>46032</v>
      </c>
      <c r="C296" s="1" t="s">
        <v>19</v>
      </c>
      <c r="D296" s="1" t="s">
        <v>54</v>
      </c>
      <c r="E296" s="5">
        <v>38000</v>
      </c>
      <c r="F296" s="1">
        <v>0</v>
      </c>
      <c r="G296" s="4">
        <v>46032</v>
      </c>
      <c r="H296" s="4">
        <v>46038</v>
      </c>
      <c r="I296" s="4">
        <v>46041</v>
      </c>
      <c r="J296" s="4"/>
      <c r="K296" s="1" t="s">
        <v>55</v>
      </c>
      <c r="L296" s="1"/>
      <c r="M296" s="1"/>
      <c r="N296" s="1"/>
      <c r="O296" s="1"/>
      <c r="P296" s="1"/>
      <c r="Q296" s="1"/>
      <c r="R296" s="1"/>
      <c r="S296" s="1"/>
    </row>
    <row r="297" spans="1:19" ht="23" customHeight="1">
      <c r="A297" s="1" t="s">
        <v>354</v>
      </c>
      <c r="B297" s="4">
        <v>46032</v>
      </c>
      <c r="C297" s="1" t="s">
        <v>19</v>
      </c>
      <c r="D297" s="1" t="s">
        <v>54</v>
      </c>
      <c r="E297" s="5">
        <v>39000</v>
      </c>
      <c r="F297" s="1">
        <v>0</v>
      </c>
      <c r="G297" s="4">
        <v>46032</v>
      </c>
      <c r="H297" s="4">
        <v>46036</v>
      </c>
      <c r="I297" s="4">
        <v>46039</v>
      </c>
      <c r="J297" s="4"/>
      <c r="K297" s="1" t="s">
        <v>63</v>
      </c>
      <c r="L297" s="1"/>
      <c r="M297" s="1"/>
      <c r="N297" s="1"/>
      <c r="O297" s="1"/>
      <c r="P297" s="1"/>
      <c r="Q297" s="1"/>
      <c r="R297" s="1"/>
      <c r="S297" s="1"/>
    </row>
    <row r="298" spans="1:19" ht="23" customHeight="1">
      <c r="A298" s="1" t="s">
        <v>355</v>
      </c>
      <c r="B298" s="4">
        <v>46066</v>
      </c>
      <c r="C298" s="1" t="s">
        <v>18</v>
      </c>
      <c r="D298" s="1" t="s">
        <v>62</v>
      </c>
      <c r="E298" s="5">
        <v>48000</v>
      </c>
      <c r="F298" s="1">
        <v>0</v>
      </c>
      <c r="G298" s="4">
        <v>46067</v>
      </c>
      <c r="H298" s="4">
        <v>46072</v>
      </c>
      <c r="I298" s="4">
        <v>46073</v>
      </c>
      <c r="J298" s="4"/>
      <c r="K298" s="1" t="s">
        <v>63</v>
      </c>
      <c r="L298" s="1"/>
      <c r="M298" s="1"/>
      <c r="N298" s="1"/>
      <c r="O298" s="1"/>
      <c r="P298" s="1"/>
      <c r="Q298" s="1"/>
      <c r="R298" s="1"/>
      <c r="S298" s="1"/>
    </row>
    <row r="299" spans="1:19" ht="23" customHeight="1">
      <c r="A299" s="1" t="s">
        <v>356</v>
      </c>
      <c r="B299" s="4">
        <v>46099</v>
      </c>
      <c r="C299" s="1" t="s">
        <v>18</v>
      </c>
      <c r="D299" s="1" t="s">
        <v>71</v>
      </c>
      <c r="E299" s="5">
        <v>30000</v>
      </c>
      <c r="F299" s="1">
        <v>0</v>
      </c>
      <c r="G299" s="4">
        <v>46100</v>
      </c>
      <c r="H299" s="4">
        <v>46102</v>
      </c>
      <c r="I299" s="4">
        <v>46105</v>
      </c>
      <c r="J299" s="4"/>
      <c r="K299" s="1" t="s">
        <v>63</v>
      </c>
      <c r="L299" s="1"/>
      <c r="M299" s="1"/>
      <c r="N299" s="1"/>
      <c r="O299" s="1"/>
      <c r="P299" s="1"/>
      <c r="Q299" s="1"/>
      <c r="R299" s="1"/>
      <c r="S299" s="1"/>
    </row>
    <row r="300" spans="1:19" ht="23" customHeight="1">
      <c r="A300" s="1" t="s">
        <v>357</v>
      </c>
      <c r="B300" s="4">
        <v>46087</v>
      </c>
      <c r="C300" s="1" t="s">
        <v>18</v>
      </c>
      <c r="D300" s="1" t="s">
        <v>71</v>
      </c>
      <c r="E300" s="5">
        <v>8000</v>
      </c>
      <c r="F300" s="1">
        <v>0</v>
      </c>
      <c r="G300" s="4">
        <v>46087</v>
      </c>
      <c r="H300" s="4">
        <v>46093</v>
      </c>
      <c r="I300" s="4">
        <v>46095</v>
      </c>
      <c r="J300" s="4"/>
      <c r="K300" s="1" t="s">
        <v>55</v>
      </c>
      <c r="L300" s="1"/>
      <c r="M300" s="1"/>
      <c r="N300" s="1"/>
      <c r="O300" s="1"/>
      <c r="P300" s="1"/>
      <c r="Q300" s="1"/>
      <c r="R300" s="1"/>
      <c r="S300" s="1"/>
    </row>
    <row r="301" spans="1:19" ht="23" customHeight="1">
      <c r="A301" s="1" t="s">
        <v>358</v>
      </c>
      <c r="B301" s="4">
        <v>46083</v>
      </c>
      <c r="C301" s="1" t="s">
        <v>18</v>
      </c>
      <c r="D301" s="1" t="s">
        <v>65</v>
      </c>
      <c r="E301" s="5">
        <v>43000</v>
      </c>
      <c r="F301" s="1">
        <v>1</v>
      </c>
      <c r="G301" s="4">
        <v>46087</v>
      </c>
      <c r="H301" s="4">
        <v>46090</v>
      </c>
      <c r="I301" s="4">
        <v>46091</v>
      </c>
      <c r="J301" s="4"/>
      <c r="K301" s="1" t="s">
        <v>55</v>
      </c>
      <c r="L301" s="1"/>
      <c r="M301" s="1"/>
      <c r="N301" s="1"/>
      <c r="O301" s="1"/>
      <c r="P301" s="1"/>
      <c r="Q301" s="1"/>
      <c r="R301" s="1"/>
      <c r="S301" s="1"/>
    </row>
    <row r="302" spans="1:19" ht="23" customHeight="1">
      <c r="A302" s="1" t="s">
        <v>359</v>
      </c>
      <c r="B302" s="4">
        <v>46047</v>
      </c>
      <c r="C302" s="1" t="s">
        <v>18</v>
      </c>
      <c r="D302" s="1" t="s">
        <v>62</v>
      </c>
      <c r="E302" s="5">
        <v>49000</v>
      </c>
      <c r="F302" s="1">
        <v>0</v>
      </c>
      <c r="G302" s="4">
        <v>46049</v>
      </c>
      <c r="H302" s="4">
        <v>46055</v>
      </c>
      <c r="I302" s="4">
        <v>46058</v>
      </c>
      <c r="J302" s="4"/>
      <c r="K302" s="1" t="s">
        <v>55</v>
      </c>
      <c r="L302" s="1"/>
      <c r="M302" s="1"/>
      <c r="N302" s="1"/>
      <c r="O302" s="1"/>
      <c r="P302" s="1"/>
      <c r="Q302" s="1"/>
      <c r="R302" s="1"/>
      <c r="S302" s="1"/>
    </row>
    <row r="303" spans="1:19" ht="23" customHeight="1">
      <c r="A303" s="1" t="s">
        <v>360</v>
      </c>
      <c r="B303" s="4">
        <v>46108</v>
      </c>
      <c r="C303" s="1" t="s">
        <v>19</v>
      </c>
      <c r="D303" s="1" t="s">
        <v>54</v>
      </c>
      <c r="E303" s="5">
        <v>31000</v>
      </c>
      <c r="F303" s="1">
        <v>1</v>
      </c>
      <c r="G303" s="4"/>
      <c r="H303" s="4"/>
      <c r="I303" s="4"/>
      <c r="J303" s="4"/>
      <c r="K303" s="1" t="s">
        <v>69</v>
      </c>
      <c r="L303" s="1"/>
      <c r="M303" s="1"/>
      <c r="N303" s="1"/>
      <c r="O303" s="1"/>
      <c r="P303" s="1"/>
      <c r="Q303" s="1"/>
      <c r="R303" s="1"/>
      <c r="S303" s="1"/>
    </row>
    <row r="304" spans="1:19" ht="23" customHeight="1">
      <c r="A304" s="1" t="s">
        <v>361</v>
      </c>
      <c r="B304" s="4">
        <v>46073</v>
      </c>
      <c r="C304" s="1" t="s">
        <v>18</v>
      </c>
      <c r="D304" s="1" t="s">
        <v>62</v>
      </c>
      <c r="E304" s="5">
        <v>12000</v>
      </c>
      <c r="F304" s="1">
        <v>0</v>
      </c>
      <c r="G304" s="4">
        <v>46073</v>
      </c>
      <c r="H304" s="4">
        <v>46081</v>
      </c>
      <c r="I304" s="4">
        <v>46084</v>
      </c>
      <c r="J304" s="4"/>
      <c r="K304" s="1" t="s">
        <v>55</v>
      </c>
      <c r="L304" s="1"/>
      <c r="M304" s="1"/>
      <c r="N304" s="1"/>
      <c r="O304" s="1"/>
      <c r="P304" s="1"/>
      <c r="Q304" s="1"/>
      <c r="R304" s="1"/>
      <c r="S304" s="1"/>
    </row>
    <row r="305" spans="1:19" ht="23" customHeight="1">
      <c r="A305" s="1" t="s">
        <v>362</v>
      </c>
      <c r="B305" s="4">
        <v>46077</v>
      </c>
      <c r="C305" s="1" t="s">
        <v>19</v>
      </c>
      <c r="D305" s="1" t="s">
        <v>54</v>
      </c>
      <c r="E305" s="5">
        <v>26000</v>
      </c>
      <c r="F305" s="1">
        <v>0</v>
      </c>
      <c r="G305" s="4">
        <v>46079</v>
      </c>
      <c r="H305" s="4">
        <v>46082</v>
      </c>
      <c r="I305" s="4">
        <v>46085</v>
      </c>
      <c r="J305" s="4"/>
      <c r="K305" s="1" t="s">
        <v>55</v>
      </c>
      <c r="L305" s="1"/>
      <c r="M305" s="1"/>
      <c r="N305" s="1"/>
      <c r="O305" s="1"/>
      <c r="P305" s="1"/>
      <c r="Q305" s="1"/>
      <c r="R305" s="1"/>
      <c r="S305" s="1"/>
    </row>
    <row r="306" spans="1:19" ht="23" customHeight="1">
      <c r="A306" s="1" t="s">
        <v>363</v>
      </c>
      <c r="B306" s="4">
        <v>46111</v>
      </c>
      <c r="C306" s="1" t="s">
        <v>19</v>
      </c>
      <c r="D306" s="1" t="s">
        <v>54</v>
      </c>
      <c r="E306" s="5">
        <v>29000</v>
      </c>
      <c r="F306" s="1">
        <v>0</v>
      </c>
      <c r="G306" s="4">
        <v>46112</v>
      </c>
      <c r="H306" s="4"/>
      <c r="I306" s="4"/>
      <c r="J306" s="4"/>
      <c r="K306" s="1" t="s">
        <v>69</v>
      </c>
      <c r="L306" s="1"/>
      <c r="M306" s="1"/>
      <c r="N306" s="1"/>
      <c r="O306" s="1"/>
      <c r="P306" s="1"/>
      <c r="Q306" s="1"/>
      <c r="R306" s="1"/>
      <c r="S306" s="1"/>
    </row>
    <row r="307" spans="1:19" ht="23" customHeight="1">
      <c r="A307" s="1" t="s">
        <v>364</v>
      </c>
      <c r="B307" s="4">
        <v>46043</v>
      </c>
      <c r="C307" s="1" t="s">
        <v>18</v>
      </c>
      <c r="D307" s="1" t="s">
        <v>59</v>
      </c>
      <c r="E307" s="5">
        <v>13000</v>
      </c>
      <c r="F307" s="1">
        <v>1</v>
      </c>
      <c r="G307" s="4"/>
      <c r="H307" s="4"/>
      <c r="I307" s="4"/>
      <c r="J307" s="4">
        <v>46045</v>
      </c>
      <c r="K307" s="1" t="s">
        <v>86</v>
      </c>
      <c r="L307" s="1"/>
      <c r="M307" s="1"/>
      <c r="N307" s="1"/>
      <c r="O307" s="1"/>
      <c r="P307" s="1"/>
      <c r="Q307" s="1"/>
      <c r="R307" s="1"/>
      <c r="S307" s="1"/>
    </row>
    <row r="308" spans="1:19" ht="23" customHeight="1">
      <c r="A308" s="1" t="s">
        <v>365</v>
      </c>
      <c r="B308" s="4">
        <v>46047</v>
      </c>
      <c r="C308" s="1" t="s">
        <v>19</v>
      </c>
      <c r="D308" s="1" t="s">
        <v>54</v>
      </c>
      <c r="E308" s="5">
        <v>8000</v>
      </c>
      <c r="F308" s="1">
        <v>0</v>
      </c>
      <c r="G308" s="4">
        <v>46049</v>
      </c>
      <c r="H308" s="4">
        <v>46050</v>
      </c>
      <c r="I308" s="4">
        <v>46052</v>
      </c>
      <c r="J308" s="4"/>
      <c r="K308" s="1" t="s">
        <v>63</v>
      </c>
      <c r="L308" s="1"/>
      <c r="M308" s="1"/>
      <c r="N308" s="1"/>
      <c r="O308" s="1"/>
      <c r="P308" s="1"/>
      <c r="Q308" s="1"/>
      <c r="R308" s="1"/>
      <c r="S308" s="1"/>
    </row>
    <row r="309" spans="1:19" ht="23" customHeight="1">
      <c r="A309" s="1" t="s">
        <v>366</v>
      </c>
      <c r="B309" s="4">
        <v>46087</v>
      </c>
      <c r="C309" s="1" t="s">
        <v>19</v>
      </c>
      <c r="D309" s="1" t="s">
        <v>54</v>
      </c>
      <c r="E309" s="5">
        <v>29000</v>
      </c>
      <c r="F309" s="1">
        <v>0</v>
      </c>
      <c r="G309" s="4">
        <v>46087</v>
      </c>
      <c r="H309" s="4">
        <v>46092</v>
      </c>
      <c r="I309" s="4">
        <v>46093</v>
      </c>
      <c r="J309" s="4"/>
      <c r="K309" s="1" t="s">
        <v>55</v>
      </c>
      <c r="L309" s="1"/>
      <c r="M309" s="1"/>
      <c r="N309" s="1"/>
      <c r="O309" s="1"/>
      <c r="P309" s="1"/>
      <c r="Q309" s="1"/>
      <c r="R309" s="1"/>
      <c r="S309" s="1"/>
    </row>
    <row r="310" spans="1:19" ht="23" customHeight="1">
      <c r="A310" s="1" t="s">
        <v>367</v>
      </c>
      <c r="B310" s="4">
        <v>46072</v>
      </c>
      <c r="C310" s="1" t="s">
        <v>18</v>
      </c>
      <c r="D310" s="1" t="s">
        <v>71</v>
      </c>
      <c r="E310" s="5">
        <v>39000</v>
      </c>
      <c r="F310" s="1">
        <v>1</v>
      </c>
      <c r="G310" s="4">
        <v>46080</v>
      </c>
      <c r="H310" s="4">
        <v>46083</v>
      </c>
      <c r="I310" s="4">
        <v>46086</v>
      </c>
      <c r="J310" s="4"/>
      <c r="K310" s="1" t="s">
        <v>55</v>
      </c>
      <c r="L310" s="1"/>
      <c r="M310" s="1"/>
      <c r="N310" s="1"/>
      <c r="O310" s="1"/>
      <c r="P310" s="1"/>
      <c r="Q310" s="1"/>
      <c r="R310" s="1"/>
      <c r="S310" s="1"/>
    </row>
    <row r="311" spans="1:19" ht="23" customHeight="1">
      <c r="A311" s="1" t="s">
        <v>368</v>
      </c>
      <c r="B311" s="4">
        <v>46088</v>
      </c>
      <c r="C311" s="1" t="s">
        <v>19</v>
      </c>
      <c r="D311" s="1" t="s">
        <v>54</v>
      </c>
      <c r="E311" s="5">
        <v>29000</v>
      </c>
      <c r="F311" s="1">
        <v>0</v>
      </c>
      <c r="G311" s="4">
        <v>46088</v>
      </c>
      <c r="H311" s="4">
        <v>46093</v>
      </c>
      <c r="I311" s="4">
        <v>46095</v>
      </c>
      <c r="J311" s="4"/>
      <c r="K311" s="1" t="s">
        <v>55</v>
      </c>
      <c r="L311" s="1"/>
      <c r="M311" s="1"/>
      <c r="N311" s="1"/>
      <c r="O311" s="1"/>
      <c r="P311" s="1"/>
      <c r="Q311" s="1"/>
      <c r="R311" s="1"/>
      <c r="S311" s="1"/>
    </row>
    <row r="312" spans="1:19" ht="23" customHeight="1">
      <c r="A312" s="1" t="s">
        <v>369</v>
      </c>
      <c r="B312" s="4">
        <v>46024</v>
      </c>
      <c r="C312" s="1" t="s">
        <v>18</v>
      </c>
      <c r="D312" s="1" t="s">
        <v>71</v>
      </c>
      <c r="E312" s="5">
        <v>11000</v>
      </c>
      <c r="F312" s="1">
        <v>1</v>
      </c>
      <c r="G312" s="4"/>
      <c r="H312" s="4"/>
      <c r="I312" s="4"/>
      <c r="J312" s="4">
        <v>46025</v>
      </c>
      <c r="K312" s="1" t="s">
        <v>86</v>
      </c>
      <c r="L312" s="1"/>
      <c r="M312" s="1"/>
      <c r="N312" s="1"/>
      <c r="O312" s="1"/>
      <c r="P312" s="1"/>
      <c r="Q312" s="1"/>
      <c r="R312" s="1"/>
      <c r="S312" s="1"/>
    </row>
    <row r="313" spans="1:19" ht="23" customHeight="1">
      <c r="A313" s="1" t="s">
        <v>370</v>
      </c>
      <c r="B313" s="4">
        <v>46062</v>
      </c>
      <c r="C313" s="1" t="s">
        <v>18</v>
      </c>
      <c r="D313" s="1" t="s">
        <v>59</v>
      </c>
      <c r="E313" s="5">
        <v>30000</v>
      </c>
      <c r="F313" s="1">
        <v>1</v>
      </c>
      <c r="G313" s="4"/>
      <c r="H313" s="4"/>
      <c r="I313" s="4"/>
      <c r="J313" s="4">
        <v>46067</v>
      </c>
      <c r="K313" s="1" t="s">
        <v>86</v>
      </c>
      <c r="L313" s="1"/>
      <c r="M313" s="1"/>
      <c r="N313" s="1"/>
      <c r="O313" s="1"/>
      <c r="P313" s="1"/>
      <c r="Q313" s="1"/>
      <c r="R313" s="1"/>
      <c r="S313" s="1"/>
    </row>
    <row r="314" spans="1:19" ht="23" customHeight="1">
      <c r="A314" s="1" t="s">
        <v>371</v>
      </c>
      <c r="B314" s="4">
        <v>46026</v>
      </c>
      <c r="C314" s="1" t="s">
        <v>18</v>
      </c>
      <c r="D314" s="1" t="s">
        <v>71</v>
      </c>
      <c r="E314" s="5">
        <v>33000</v>
      </c>
      <c r="F314" s="1">
        <v>0</v>
      </c>
      <c r="G314" s="4">
        <v>46028</v>
      </c>
      <c r="H314" s="4">
        <v>46029</v>
      </c>
      <c r="I314" s="4">
        <v>46031</v>
      </c>
      <c r="J314" s="4"/>
      <c r="K314" s="1" t="s">
        <v>55</v>
      </c>
      <c r="L314" s="1"/>
      <c r="M314" s="1"/>
      <c r="N314" s="1"/>
      <c r="O314" s="1"/>
      <c r="P314" s="1"/>
      <c r="Q314" s="1"/>
      <c r="R314" s="1"/>
      <c r="S314" s="1"/>
    </row>
    <row r="315" spans="1:19" ht="23" customHeight="1">
      <c r="A315" s="1" t="s">
        <v>372</v>
      </c>
      <c r="B315" s="4">
        <v>46098</v>
      </c>
      <c r="C315" s="1" t="s">
        <v>18</v>
      </c>
      <c r="D315" s="1" t="s">
        <v>59</v>
      </c>
      <c r="E315" s="5">
        <v>41000</v>
      </c>
      <c r="F315" s="1">
        <v>0</v>
      </c>
      <c r="G315" s="4">
        <v>46098</v>
      </c>
      <c r="H315" s="4">
        <v>46103</v>
      </c>
      <c r="I315" s="4">
        <v>46105</v>
      </c>
      <c r="J315" s="4"/>
      <c r="K315" s="1" t="s">
        <v>63</v>
      </c>
      <c r="L315" s="1"/>
      <c r="M315" s="1"/>
      <c r="N315" s="1"/>
      <c r="O315" s="1"/>
      <c r="P315" s="1"/>
      <c r="Q315" s="1"/>
      <c r="R315" s="1"/>
      <c r="S315" s="1"/>
    </row>
    <row r="316" spans="1:19" ht="23" customHeight="1">
      <c r="A316" s="1" t="s">
        <v>373</v>
      </c>
      <c r="B316" s="4">
        <v>46083</v>
      </c>
      <c r="C316" s="1" t="s">
        <v>18</v>
      </c>
      <c r="D316" s="1" t="s">
        <v>62</v>
      </c>
      <c r="E316" s="5">
        <v>10000</v>
      </c>
      <c r="F316" s="1">
        <v>1</v>
      </c>
      <c r="G316" s="4">
        <v>46091</v>
      </c>
      <c r="H316" s="4">
        <v>46095</v>
      </c>
      <c r="I316" s="4">
        <v>46097</v>
      </c>
      <c r="J316" s="4"/>
      <c r="K316" s="1" t="s">
        <v>63</v>
      </c>
      <c r="L316" s="1"/>
      <c r="M316" s="1"/>
      <c r="N316" s="1"/>
      <c r="O316" s="1"/>
      <c r="P316" s="1"/>
      <c r="Q316" s="1"/>
      <c r="R316" s="1"/>
      <c r="S316" s="1"/>
    </row>
    <row r="317" spans="1:19" ht="23" customHeight="1">
      <c r="A317" s="1" t="s">
        <v>374</v>
      </c>
      <c r="B317" s="4">
        <v>46112</v>
      </c>
      <c r="C317" s="1" t="s">
        <v>19</v>
      </c>
      <c r="D317" s="1" t="s">
        <v>54</v>
      </c>
      <c r="E317" s="5">
        <v>14000</v>
      </c>
      <c r="F317" s="1">
        <v>0</v>
      </c>
      <c r="G317" s="4"/>
      <c r="H317" s="4"/>
      <c r="I317" s="4"/>
      <c r="J317" s="4"/>
      <c r="K317" s="1" t="s">
        <v>69</v>
      </c>
      <c r="L317" s="1"/>
      <c r="M317" s="1"/>
      <c r="N317" s="1"/>
      <c r="O317" s="1"/>
      <c r="P317" s="1"/>
      <c r="Q317" s="1"/>
      <c r="R317" s="1"/>
      <c r="S317" s="1"/>
    </row>
    <row r="318" spans="1:19" ht="23" customHeight="1">
      <c r="A318" s="1" t="s">
        <v>375</v>
      </c>
      <c r="B318" s="4">
        <v>46034</v>
      </c>
      <c r="C318" s="1" t="s">
        <v>18</v>
      </c>
      <c r="D318" s="1" t="s">
        <v>65</v>
      </c>
      <c r="E318" s="5">
        <v>24000</v>
      </c>
      <c r="F318" s="1">
        <v>1</v>
      </c>
      <c r="G318" s="4">
        <v>46039</v>
      </c>
      <c r="H318" s="4">
        <v>46042</v>
      </c>
      <c r="I318" s="4">
        <v>46044</v>
      </c>
      <c r="J318" s="4"/>
      <c r="K318" s="1" t="s">
        <v>63</v>
      </c>
      <c r="L318" s="1"/>
      <c r="M318" s="1"/>
      <c r="N318" s="1"/>
      <c r="O318" s="1"/>
      <c r="P318" s="1"/>
      <c r="Q318" s="1"/>
      <c r="R318" s="1"/>
      <c r="S318" s="1"/>
    </row>
    <row r="319" spans="1:19" ht="23" customHeight="1">
      <c r="A319" s="1" t="s">
        <v>376</v>
      </c>
      <c r="B319" s="4">
        <v>46105</v>
      </c>
      <c r="C319" s="1" t="s">
        <v>19</v>
      </c>
      <c r="D319" s="1" t="s">
        <v>54</v>
      </c>
      <c r="E319" s="5">
        <v>11000</v>
      </c>
      <c r="F319" s="1">
        <v>0</v>
      </c>
      <c r="G319" s="4">
        <v>46107</v>
      </c>
      <c r="H319" s="4">
        <v>46109</v>
      </c>
      <c r="I319" s="4">
        <v>46111</v>
      </c>
      <c r="J319" s="4"/>
      <c r="K319" s="1" t="s">
        <v>63</v>
      </c>
      <c r="L319" s="1"/>
      <c r="M319" s="1"/>
      <c r="N319" s="1"/>
      <c r="O319" s="1"/>
      <c r="P319" s="1"/>
      <c r="Q319" s="1"/>
      <c r="R319" s="1"/>
      <c r="S319" s="1"/>
    </row>
    <row r="320" spans="1:19" ht="23" customHeight="1">
      <c r="A320" s="1" t="s">
        <v>377</v>
      </c>
      <c r="B320" s="4">
        <v>46036</v>
      </c>
      <c r="C320" s="1" t="s">
        <v>19</v>
      </c>
      <c r="D320" s="1" t="s">
        <v>54</v>
      </c>
      <c r="E320" s="5">
        <v>48000</v>
      </c>
      <c r="F320" s="1">
        <v>1</v>
      </c>
      <c r="G320" s="4">
        <v>46042</v>
      </c>
      <c r="H320" s="4">
        <v>46045</v>
      </c>
      <c r="I320" s="4">
        <v>46046</v>
      </c>
      <c r="J320" s="4"/>
      <c r="K320" s="1" t="s">
        <v>55</v>
      </c>
      <c r="L320" s="1"/>
      <c r="M320" s="1"/>
      <c r="N320" s="1"/>
      <c r="O320" s="1"/>
      <c r="P320" s="1"/>
      <c r="Q320" s="1"/>
      <c r="R320" s="1"/>
      <c r="S320" s="1"/>
    </row>
    <row r="321" spans="1:19" ht="23" customHeight="1">
      <c r="A321" s="1" t="s">
        <v>378</v>
      </c>
      <c r="B321" s="4">
        <v>46069</v>
      </c>
      <c r="C321" s="1" t="s">
        <v>18</v>
      </c>
      <c r="D321" s="1" t="s">
        <v>71</v>
      </c>
      <c r="E321" s="5">
        <v>10000</v>
      </c>
      <c r="F321" s="1">
        <v>0</v>
      </c>
      <c r="G321" s="4">
        <v>46070</v>
      </c>
      <c r="H321" s="4">
        <v>46071</v>
      </c>
      <c r="I321" s="4">
        <v>46073</v>
      </c>
      <c r="J321" s="4"/>
      <c r="K321" s="1" t="s">
        <v>55</v>
      </c>
      <c r="L321" s="1"/>
      <c r="M321" s="1"/>
      <c r="N321" s="1"/>
      <c r="O321" s="1"/>
      <c r="P321" s="1"/>
      <c r="Q321" s="1"/>
      <c r="R321" s="1"/>
      <c r="S321" s="1"/>
    </row>
    <row r="322" spans="1:19" ht="23" customHeight="1">
      <c r="A322" s="1" t="s">
        <v>379</v>
      </c>
      <c r="B322" s="4">
        <v>46063</v>
      </c>
      <c r="C322" s="1" t="s">
        <v>18</v>
      </c>
      <c r="D322" s="1" t="s">
        <v>71</v>
      </c>
      <c r="E322" s="5">
        <v>35000</v>
      </c>
      <c r="F322" s="1">
        <v>1</v>
      </c>
      <c r="G322" s="4">
        <v>46068</v>
      </c>
      <c r="H322" s="4">
        <v>46069</v>
      </c>
      <c r="I322" s="4">
        <v>46072</v>
      </c>
      <c r="J322" s="4"/>
      <c r="K322" s="1" t="s">
        <v>55</v>
      </c>
      <c r="L322" s="1"/>
      <c r="M322" s="1"/>
      <c r="N322" s="1"/>
      <c r="O322" s="1"/>
      <c r="P322" s="1"/>
      <c r="Q322" s="1"/>
      <c r="R322" s="1"/>
      <c r="S322" s="1"/>
    </row>
    <row r="323" spans="1:19" ht="23" customHeight="1">
      <c r="A323" s="1" t="s">
        <v>380</v>
      </c>
      <c r="B323" s="4">
        <v>46069</v>
      </c>
      <c r="C323" s="1" t="s">
        <v>19</v>
      </c>
      <c r="D323" s="1" t="s">
        <v>54</v>
      </c>
      <c r="E323" s="5">
        <v>37000</v>
      </c>
      <c r="F323" s="1">
        <v>0</v>
      </c>
      <c r="G323" s="4">
        <v>46069</v>
      </c>
      <c r="H323" s="4">
        <v>46075</v>
      </c>
      <c r="I323" s="4">
        <v>46078</v>
      </c>
      <c r="J323" s="4"/>
      <c r="K323" s="1" t="s">
        <v>55</v>
      </c>
      <c r="L323" s="1"/>
      <c r="M323" s="1"/>
      <c r="N323" s="1"/>
      <c r="O323" s="1"/>
      <c r="P323" s="1"/>
      <c r="Q323" s="1"/>
      <c r="R323" s="1"/>
      <c r="S323" s="1"/>
    </row>
    <row r="324" spans="1:19" ht="23" customHeight="1">
      <c r="A324" s="1" t="s">
        <v>381</v>
      </c>
      <c r="B324" s="4">
        <v>46107</v>
      </c>
      <c r="C324" s="1" t="s">
        <v>19</v>
      </c>
      <c r="D324" s="1" t="s">
        <v>54</v>
      </c>
      <c r="E324" s="5">
        <v>29000</v>
      </c>
      <c r="F324" s="1">
        <v>1</v>
      </c>
      <c r="G324" s="4"/>
      <c r="H324" s="4"/>
      <c r="I324" s="4"/>
      <c r="J324" s="4"/>
      <c r="K324" s="1" t="s">
        <v>69</v>
      </c>
      <c r="L324" s="1"/>
      <c r="M324" s="1"/>
      <c r="N324" s="1"/>
      <c r="O324" s="1"/>
      <c r="P324" s="1"/>
      <c r="Q324" s="1"/>
      <c r="R324" s="1"/>
      <c r="S324" s="1"/>
    </row>
    <row r="325" spans="1:19" ht="23" customHeight="1">
      <c r="A325" s="1" t="s">
        <v>382</v>
      </c>
      <c r="B325" s="4">
        <v>46062</v>
      </c>
      <c r="C325" s="1" t="s">
        <v>18</v>
      </c>
      <c r="D325" s="1" t="s">
        <v>62</v>
      </c>
      <c r="E325" s="5">
        <v>34000</v>
      </c>
      <c r="F325" s="1">
        <v>0</v>
      </c>
      <c r="G325" s="4">
        <v>46062</v>
      </c>
      <c r="H325" s="4">
        <v>46069</v>
      </c>
      <c r="I325" s="4">
        <v>46070</v>
      </c>
      <c r="J325" s="4"/>
      <c r="K325" s="1" t="s">
        <v>55</v>
      </c>
      <c r="L325" s="1"/>
      <c r="M325" s="1"/>
      <c r="N325" s="1"/>
      <c r="O325" s="1"/>
      <c r="P325" s="1"/>
      <c r="Q325" s="1"/>
      <c r="R325" s="1"/>
      <c r="S325" s="1"/>
    </row>
    <row r="326" spans="1:19" ht="23" customHeight="1">
      <c r="A326" s="1" t="s">
        <v>383</v>
      </c>
      <c r="B326" s="4">
        <v>46044</v>
      </c>
      <c r="C326" s="1" t="s">
        <v>19</v>
      </c>
      <c r="D326" s="1" t="s">
        <v>54</v>
      </c>
      <c r="E326" s="5">
        <v>31000</v>
      </c>
      <c r="F326" s="1">
        <v>0</v>
      </c>
      <c r="G326" s="4">
        <v>46044</v>
      </c>
      <c r="H326" s="4">
        <v>46046</v>
      </c>
      <c r="I326" s="4">
        <v>46047</v>
      </c>
      <c r="J326" s="4"/>
      <c r="K326" s="1" t="s">
        <v>55</v>
      </c>
      <c r="L326" s="1"/>
      <c r="M326" s="1"/>
      <c r="N326" s="1"/>
      <c r="O326" s="1"/>
      <c r="P326" s="1"/>
      <c r="Q326" s="1"/>
      <c r="R326" s="1"/>
      <c r="S326" s="1"/>
    </row>
    <row r="327" spans="1:19" ht="23" customHeight="1">
      <c r="A327" s="1" t="s">
        <v>384</v>
      </c>
      <c r="B327" s="4">
        <v>46065</v>
      </c>
      <c r="C327" s="1" t="s">
        <v>18</v>
      </c>
      <c r="D327" s="1" t="s">
        <v>65</v>
      </c>
      <c r="E327" s="5">
        <v>29000</v>
      </c>
      <c r="F327" s="1">
        <v>0</v>
      </c>
      <c r="G327" s="4">
        <v>46066</v>
      </c>
      <c r="H327" s="4">
        <v>46071</v>
      </c>
      <c r="I327" s="4">
        <v>46072</v>
      </c>
      <c r="J327" s="4"/>
      <c r="K327" s="1" t="s">
        <v>63</v>
      </c>
      <c r="L327" s="1"/>
      <c r="M327" s="1"/>
      <c r="N327" s="1"/>
      <c r="O327" s="1"/>
      <c r="P327" s="1"/>
      <c r="Q327" s="1"/>
      <c r="R327" s="1"/>
      <c r="S327" s="1"/>
    </row>
    <row r="328" spans="1:19" ht="23" customHeight="1">
      <c r="A328" s="1" t="s">
        <v>385</v>
      </c>
      <c r="B328" s="4">
        <v>46027</v>
      </c>
      <c r="C328" s="1" t="s">
        <v>18</v>
      </c>
      <c r="D328" s="1" t="s">
        <v>65</v>
      </c>
      <c r="E328" s="5">
        <v>20000</v>
      </c>
      <c r="F328" s="1">
        <v>1</v>
      </c>
      <c r="G328" s="4">
        <v>46030</v>
      </c>
      <c r="H328" s="4">
        <v>46031</v>
      </c>
      <c r="I328" s="4">
        <v>46033</v>
      </c>
      <c r="J328" s="4"/>
      <c r="K328" s="1" t="s">
        <v>55</v>
      </c>
      <c r="L328" s="1"/>
      <c r="M328" s="1"/>
      <c r="N328" s="1"/>
      <c r="O328" s="1"/>
      <c r="P328" s="1"/>
      <c r="Q328" s="1"/>
      <c r="R328" s="1"/>
      <c r="S328" s="1"/>
    </row>
    <row r="329" spans="1:19" ht="23" customHeight="1">
      <c r="A329" s="1" t="s">
        <v>386</v>
      </c>
      <c r="B329" s="4">
        <v>46081</v>
      </c>
      <c r="C329" s="1" t="s">
        <v>19</v>
      </c>
      <c r="D329" s="1" t="s">
        <v>54</v>
      </c>
      <c r="E329" s="5">
        <v>21000</v>
      </c>
      <c r="F329" s="1">
        <v>1</v>
      </c>
      <c r="G329" s="4">
        <v>46089</v>
      </c>
      <c r="H329" s="4">
        <v>46095</v>
      </c>
      <c r="I329" s="4">
        <v>46097</v>
      </c>
      <c r="J329" s="4"/>
      <c r="K329" s="1" t="s">
        <v>55</v>
      </c>
      <c r="L329" s="1"/>
      <c r="M329" s="1"/>
      <c r="N329" s="1"/>
      <c r="O329" s="1"/>
      <c r="P329" s="1"/>
      <c r="Q329" s="1"/>
      <c r="R329" s="1"/>
      <c r="S329" s="1"/>
    </row>
    <row r="330" spans="1:19" ht="23" customHeight="1">
      <c r="A330" s="1" t="s">
        <v>387</v>
      </c>
      <c r="B330" s="4">
        <v>46045</v>
      </c>
      <c r="C330" s="1" t="s">
        <v>19</v>
      </c>
      <c r="D330" s="1" t="s">
        <v>54</v>
      </c>
      <c r="E330" s="5">
        <v>29000</v>
      </c>
      <c r="F330" s="1">
        <v>1</v>
      </c>
      <c r="G330" s="4">
        <v>46048</v>
      </c>
      <c r="H330" s="4">
        <v>46054</v>
      </c>
      <c r="I330" s="4">
        <v>46057</v>
      </c>
      <c r="J330" s="4"/>
      <c r="K330" s="1" t="s">
        <v>55</v>
      </c>
      <c r="L330" s="1"/>
      <c r="M330" s="1"/>
      <c r="N330" s="1"/>
      <c r="O330" s="1"/>
      <c r="P330" s="1"/>
      <c r="Q330" s="1"/>
      <c r="R330" s="1"/>
      <c r="S330" s="1"/>
    </row>
    <row r="331" spans="1:19" ht="23" customHeight="1">
      <c r="A331" s="1" t="s">
        <v>388</v>
      </c>
      <c r="B331" s="4">
        <v>46067</v>
      </c>
      <c r="C331" s="1" t="s">
        <v>18</v>
      </c>
      <c r="D331" s="1" t="s">
        <v>65</v>
      </c>
      <c r="E331" s="5">
        <v>11000</v>
      </c>
      <c r="F331" s="1">
        <v>0</v>
      </c>
      <c r="G331" s="4">
        <v>46067</v>
      </c>
      <c r="H331" s="4">
        <v>46072</v>
      </c>
      <c r="I331" s="4">
        <v>46074</v>
      </c>
      <c r="J331" s="4"/>
      <c r="K331" s="1" t="s">
        <v>55</v>
      </c>
      <c r="L331" s="1"/>
      <c r="M331" s="1"/>
      <c r="N331" s="1"/>
      <c r="O331" s="1"/>
      <c r="P331" s="1"/>
      <c r="Q331" s="1"/>
      <c r="R331" s="1"/>
      <c r="S331" s="1"/>
    </row>
    <row r="332" spans="1:19" ht="23" customHeight="1">
      <c r="A332" s="1" t="s">
        <v>389</v>
      </c>
      <c r="B332" s="4">
        <v>46052</v>
      </c>
      <c r="C332" s="1" t="s">
        <v>18</v>
      </c>
      <c r="D332" s="1" t="s">
        <v>71</v>
      </c>
      <c r="E332" s="5">
        <v>20000</v>
      </c>
      <c r="F332" s="1">
        <v>1</v>
      </c>
      <c r="G332" s="4">
        <v>46058</v>
      </c>
      <c r="H332" s="4">
        <v>46061</v>
      </c>
      <c r="I332" s="4">
        <v>46062</v>
      </c>
      <c r="J332" s="4"/>
      <c r="K332" s="1" t="s">
        <v>55</v>
      </c>
      <c r="L332" s="1"/>
      <c r="M332" s="1"/>
      <c r="N332" s="1"/>
      <c r="O332" s="1"/>
      <c r="P332" s="1"/>
      <c r="Q332" s="1"/>
      <c r="R332" s="1"/>
      <c r="S332" s="1"/>
    </row>
    <row r="333" spans="1:19" ht="23" customHeight="1">
      <c r="A333" s="1" t="s">
        <v>390</v>
      </c>
      <c r="B333" s="4">
        <v>46061</v>
      </c>
      <c r="C333" s="1" t="s">
        <v>18</v>
      </c>
      <c r="D333" s="1" t="s">
        <v>71</v>
      </c>
      <c r="E333" s="5">
        <v>14000</v>
      </c>
      <c r="F333" s="1">
        <v>0</v>
      </c>
      <c r="G333" s="4">
        <v>46062</v>
      </c>
      <c r="H333" s="4">
        <v>46068</v>
      </c>
      <c r="I333" s="4">
        <v>46070</v>
      </c>
      <c r="J333" s="4"/>
      <c r="K333" s="1" t="s">
        <v>55</v>
      </c>
      <c r="L333" s="1"/>
      <c r="M333" s="1"/>
      <c r="N333" s="1"/>
      <c r="O333" s="1"/>
      <c r="P333" s="1"/>
      <c r="Q333" s="1"/>
      <c r="R333" s="1"/>
      <c r="S333" s="1"/>
    </row>
    <row r="334" spans="1:19" ht="23" customHeight="1">
      <c r="A334" s="1" t="s">
        <v>391</v>
      </c>
      <c r="B334" s="4">
        <v>46098</v>
      </c>
      <c r="C334" s="1" t="s">
        <v>19</v>
      </c>
      <c r="D334" s="1" t="s">
        <v>54</v>
      </c>
      <c r="E334" s="5">
        <v>10000</v>
      </c>
      <c r="F334" s="1">
        <v>1</v>
      </c>
      <c r="G334" s="4">
        <v>46101</v>
      </c>
      <c r="H334" s="4">
        <v>46103</v>
      </c>
      <c r="I334" s="4">
        <v>46105</v>
      </c>
      <c r="J334" s="4"/>
      <c r="K334" s="1" t="s">
        <v>55</v>
      </c>
      <c r="L334" s="1"/>
      <c r="M334" s="1"/>
      <c r="N334" s="1"/>
      <c r="O334" s="1"/>
      <c r="P334" s="1"/>
      <c r="Q334" s="1"/>
      <c r="R334" s="1"/>
      <c r="S334" s="1"/>
    </row>
    <row r="335" spans="1:19" ht="23" customHeight="1">
      <c r="A335" s="1" t="s">
        <v>392</v>
      </c>
      <c r="B335" s="4">
        <v>46028</v>
      </c>
      <c r="C335" s="1" t="s">
        <v>19</v>
      </c>
      <c r="D335" s="1" t="s">
        <v>54</v>
      </c>
      <c r="E335" s="5">
        <v>18000</v>
      </c>
      <c r="F335" s="1">
        <v>1</v>
      </c>
      <c r="G335" s="4"/>
      <c r="H335" s="4"/>
      <c r="I335" s="4"/>
      <c r="J335" s="4">
        <v>46029</v>
      </c>
      <c r="K335" s="1" t="s">
        <v>86</v>
      </c>
      <c r="L335" s="1"/>
      <c r="M335" s="1"/>
      <c r="N335" s="1"/>
      <c r="O335" s="1"/>
      <c r="P335" s="1"/>
      <c r="Q335" s="1"/>
      <c r="R335" s="1"/>
      <c r="S335" s="1"/>
    </row>
    <row r="336" spans="1:19" ht="23" customHeight="1">
      <c r="A336" s="1" t="s">
        <v>393</v>
      </c>
      <c r="B336" s="4">
        <v>46090</v>
      </c>
      <c r="C336" s="1" t="s">
        <v>19</v>
      </c>
      <c r="D336" s="1" t="s">
        <v>54</v>
      </c>
      <c r="E336" s="5">
        <v>18000</v>
      </c>
      <c r="F336" s="1">
        <v>0</v>
      </c>
      <c r="G336" s="4">
        <v>46090</v>
      </c>
      <c r="H336" s="4">
        <v>46094</v>
      </c>
      <c r="I336" s="4">
        <v>46096</v>
      </c>
      <c r="J336" s="4"/>
      <c r="K336" s="1" t="s">
        <v>55</v>
      </c>
      <c r="L336" s="1"/>
      <c r="M336" s="1"/>
      <c r="N336" s="1"/>
      <c r="O336" s="1"/>
      <c r="P336" s="1"/>
      <c r="Q336" s="1"/>
      <c r="R336" s="1"/>
      <c r="S336" s="1"/>
    </row>
    <row r="337" spans="1:19" ht="23" customHeight="1">
      <c r="A337" s="1" t="s">
        <v>394</v>
      </c>
      <c r="B337" s="4">
        <v>46048</v>
      </c>
      <c r="C337" s="1" t="s">
        <v>19</v>
      </c>
      <c r="D337" s="1" t="s">
        <v>54</v>
      </c>
      <c r="E337" s="5">
        <v>14000</v>
      </c>
      <c r="F337" s="1">
        <v>1</v>
      </c>
      <c r="G337" s="4">
        <v>46052</v>
      </c>
      <c r="H337" s="4">
        <v>46057</v>
      </c>
      <c r="I337" s="4">
        <v>46060</v>
      </c>
      <c r="J337" s="4"/>
      <c r="K337" s="1" t="s">
        <v>55</v>
      </c>
      <c r="L337" s="1"/>
      <c r="M337" s="1"/>
      <c r="N337" s="1"/>
      <c r="O337" s="1"/>
      <c r="P337" s="1"/>
      <c r="Q337" s="1"/>
      <c r="R337" s="1"/>
      <c r="S337" s="1"/>
    </row>
    <row r="338" spans="1:19" ht="23" customHeight="1">
      <c r="A338" s="1" t="s">
        <v>395</v>
      </c>
      <c r="B338" s="4">
        <v>46076</v>
      </c>
      <c r="C338" s="1" t="s">
        <v>19</v>
      </c>
      <c r="D338" s="1" t="s">
        <v>54</v>
      </c>
      <c r="E338" s="5">
        <v>38000</v>
      </c>
      <c r="F338" s="1">
        <v>1</v>
      </c>
      <c r="G338" s="4">
        <v>46081</v>
      </c>
      <c r="H338" s="4">
        <v>46087</v>
      </c>
      <c r="I338" s="4">
        <v>46090</v>
      </c>
      <c r="J338" s="4"/>
      <c r="K338" s="1" t="s">
        <v>55</v>
      </c>
      <c r="L338" s="1"/>
      <c r="M338" s="1"/>
      <c r="N338" s="1"/>
      <c r="O338" s="1"/>
      <c r="P338" s="1"/>
      <c r="Q338" s="1"/>
      <c r="R338" s="1"/>
      <c r="S338" s="1"/>
    </row>
    <row r="339" spans="1:19" ht="23" customHeight="1">
      <c r="A339" s="1" t="s">
        <v>396</v>
      </c>
      <c r="B339" s="4">
        <v>46070</v>
      </c>
      <c r="C339" s="1" t="s">
        <v>18</v>
      </c>
      <c r="D339" s="1" t="s">
        <v>71</v>
      </c>
      <c r="E339" s="5">
        <v>14000</v>
      </c>
      <c r="F339" s="1">
        <v>1</v>
      </c>
      <c r="G339" s="4">
        <v>46078</v>
      </c>
      <c r="H339" s="4">
        <v>46083</v>
      </c>
      <c r="I339" s="4">
        <v>46085</v>
      </c>
      <c r="J339" s="4"/>
      <c r="K339" s="1" t="s">
        <v>63</v>
      </c>
      <c r="L339" s="1"/>
      <c r="M339" s="1"/>
      <c r="N339" s="1"/>
      <c r="O339" s="1"/>
      <c r="P339" s="1"/>
      <c r="Q339" s="1"/>
      <c r="R339" s="1"/>
      <c r="S339" s="1"/>
    </row>
    <row r="340" spans="1:19" ht="23" customHeight="1">
      <c r="A340" s="1" t="s">
        <v>397</v>
      </c>
      <c r="B340" s="4">
        <v>46085</v>
      </c>
      <c r="C340" s="1" t="s">
        <v>19</v>
      </c>
      <c r="D340" s="1" t="s">
        <v>54</v>
      </c>
      <c r="E340" s="5">
        <v>15000</v>
      </c>
      <c r="F340" s="1">
        <v>0</v>
      </c>
      <c r="G340" s="4">
        <v>46085</v>
      </c>
      <c r="H340" s="4">
        <v>46088</v>
      </c>
      <c r="I340" s="4">
        <v>46090</v>
      </c>
      <c r="J340" s="4"/>
      <c r="K340" s="1" t="s">
        <v>55</v>
      </c>
      <c r="L340" s="1"/>
      <c r="M340" s="1"/>
      <c r="N340" s="1"/>
      <c r="O340" s="1"/>
      <c r="P340" s="1"/>
      <c r="Q340" s="1"/>
      <c r="R340" s="1"/>
      <c r="S340" s="1"/>
    </row>
    <row r="341" spans="1:19" ht="23" customHeight="1">
      <c r="A341" s="1" t="s">
        <v>398</v>
      </c>
      <c r="B341" s="4">
        <v>46052</v>
      </c>
      <c r="C341" s="1" t="s">
        <v>19</v>
      </c>
      <c r="D341" s="1" t="s">
        <v>54</v>
      </c>
      <c r="E341" s="5">
        <v>35000</v>
      </c>
      <c r="F341" s="1">
        <v>0</v>
      </c>
      <c r="G341" s="4">
        <v>46054</v>
      </c>
      <c r="H341" s="4">
        <v>46060</v>
      </c>
      <c r="I341" s="4">
        <v>46062</v>
      </c>
      <c r="J341" s="4"/>
      <c r="K341" s="1" t="s">
        <v>55</v>
      </c>
      <c r="L341" s="1"/>
      <c r="M341" s="1"/>
      <c r="N341" s="1"/>
      <c r="O341" s="1"/>
      <c r="P341" s="1"/>
      <c r="Q341" s="1"/>
      <c r="R341" s="1"/>
      <c r="S341" s="1"/>
    </row>
    <row r="342" spans="1:19" ht="23" customHeight="1">
      <c r="A342" s="1" t="s">
        <v>399</v>
      </c>
      <c r="B342" s="4">
        <v>46045</v>
      </c>
      <c r="C342" s="1" t="s">
        <v>18</v>
      </c>
      <c r="D342" s="1" t="s">
        <v>59</v>
      </c>
      <c r="E342" s="5">
        <v>38000</v>
      </c>
      <c r="F342" s="1">
        <v>1</v>
      </c>
      <c r="G342" s="4">
        <v>46048</v>
      </c>
      <c r="H342" s="4">
        <v>46053</v>
      </c>
      <c r="I342" s="4">
        <v>46054</v>
      </c>
      <c r="J342" s="4"/>
      <c r="K342" s="1" t="s">
        <v>55</v>
      </c>
      <c r="L342" s="1"/>
      <c r="M342" s="1"/>
      <c r="N342" s="1"/>
      <c r="O342" s="1"/>
      <c r="P342" s="1"/>
      <c r="Q342" s="1"/>
      <c r="R342" s="1"/>
      <c r="S342" s="1"/>
    </row>
    <row r="343" spans="1:19" ht="23" customHeight="1">
      <c r="A343" s="1" t="s">
        <v>400</v>
      </c>
      <c r="B343" s="4">
        <v>46095</v>
      </c>
      <c r="C343" s="1" t="s">
        <v>18</v>
      </c>
      <c r="D343" s="1" t="s">
        <v>62</v>
      </c>
      <c r="E343" s="5">
        <v>23000</v>
      </c>
      <c r="F343" s="1">
        <v>1</v>
      </c>
      <c r="G343" s="4"/>
      <c r="H343" s="4"/>
      <c r="I343" s="4"/>
      <c r="J343" s="4">
        <v>46098</v>
      </c>
      <c r="K343" s="1" t="s">
        <v>86</v>
      </c>
      <c r="L343" s="1"/>
      <c r="M343" s="1"/>
      <c r="N343" s="1"/>
      <c r="O343" s="1"/>
      <c r="P343" s="1"/>
      <c r="Q343" s="1"/>
      <c r="R343" s="1"/>
      <c r="S343" s="1"/>
    </row>
    <row r="344" spans="1:19" ht="23" customHeight="1">
      <c r="A344" s="1" t="s">
        <v>401</v>
      </c>
      <c r="B344" s="4">
        <v>46083</v>
      </c>
      <c r="C344" s="1" t="s">
        <v>18</v>
      </c>
      <c r="D344" s="1" t="s">
        <v>65</v>
      </c>
      <c r="E344" s="5">
        <v>38000</v>
      </c>
      <c r="F344" s="1">
        <v>0</v>
      </c>
      <c r="G344" s="4">
        <v>46085</v>
      </c>
      <c r="H344" s="4">
        <v>46087</v>
      </c>
      <c r="I344" s="4">
        <v>46089</v>
      </c>
      <c r="J344" s="4"/>
      <c r="K344" s="1" t="s">
        <v>55</v>
      </c>
      <c r="L344" s="1"/>
      <c r="M344" s="1"/>
      <c r="N344" s="1"/>
      <c r="O344" s="1"/>
      <c r="P344" s="1"/>
      <c r="Q344" s="1"/>
      <c r="R344" s="1"/>
      <c r="S344" s="1"/>
    </row>
    <row r="345" spans="1:19" ht="23" customHeight="1">
      <c r="A345" s="1" t="s">
        <v>402</v>
      </c>
      <c r="B345" s="4">
        <v>46075</v>
      </c>
      <c r="C345" s="1" t="s">
        <v>18</v>
      </c>
      <c r="D345" s="1" t="s">
        <v>65</v>
      </c>
      <c r="E345" s="5">
        <v>32000</v>
      </c>
      <c r="F345" s="1">
        <v>0</v>
      </c>
      <c r="G345" s="4">
        <v>46076</v>
      </c>
      <c r="H345" s="4">
        <v>46082</v>
      </c>
      <c r="I345" s="4">
        <v>46083</v>
      </c>
      <c r="J345" s="4"/>
      <c r="K345" s="1" t="s">
        <v>55</v>
      </c>
      <c r="L345" s="1"/>
      <c r="M345" s="1"/>
      <c r="N345" s="1"/>
      <c r="O345" s="1"/>
      <c r="P345" s="1"/>
      <c r="Q345" s="1"/>
      <c r="R345" s="1"/>
      <c r="S345" s="1"/>
    </row>
    <row r="346" spans="1:19" ht="23" customHeight="1">
      <c r="A346" s="1" t="s">
        <v>403</v>
      </c>
      <c r="B346" s="4">
        <v>46100</v>
      </c>
      <c r="C346" s="1" t="s">
        <v>19</v>
      </c>
      <c r="D346" s="1" t="s">
        <v>54</v>
      </c>
      <c r="E346" s="5">
        <v>36000</v>
      </c>
      <c r="F346" s="1">
        <v>0</v>
      </c>
      <c r="G346" s="4">
        <v>46101</v>
      </c>
      <c r="H346" s="4">
        <v>46104</v>
      </c>
      <c r="I346" s="4">
        <v>46106</v>
      </c>
      <c r="J346" s="4"/>
      <c r="K346" s="1" t="s">
        <v>55</v>
      </c>
      <c r="L346" s="1"/>
      <c r="M346" s="1"/>
      <c r="N346" s="1"/>
      <c r="O346" s="1"/>
      <c r="P346" s="1"/>
      <c r="Q346" s="1"/>
      <c r="R346" s="1"/>
      <c r="S346" s="1"/>
    </row>
    <row r="347" spans="1:19" ht="23" customHeight="1">
      <c r="A347" s="1" t="s">
        <v>404</v>
      </c>
      <c r="B347" s="4">
        <v>46102</v>
      </c>
      <c r="C347" s="1" t="s">
        <v>19</v>
      </c>
      <c r="D347" s="1" t="s">
        <v>54</v>
      </c>
      <c r="E347" s="5">
        <v>18000</v>
      </c>
      <c r="F347" s="1">
        <v>0</v>
      </c>
      <c r="G347" s="4">
        <v>46103</v>
      </c>
      <c r="H347" s="4">
        <v>46107</v>
      </c>
      <c r="I347" s="4">
        <v>46108</v>
      </c>
      <c r="J347" s="4"/>
      <c r="K347" s="1" t="s">
        <v>55</v>
      </c>
      <c r="L347" s="1"/>
      <c r="M347" s="1"/>
      <c r="N347" s="1"/>
      <c r="O347" s="1"/>
      <c r="P347" s="1"/>
      <c r="Q347" s="1"/>
      <c r="R347" s="1"/>
      <c r="S347" s="1"/>
    </row>
    <row r="348" spans="1:19" ht="23" customHeight="1">
      <c r="A348" s="1" t="s">
        <v>405</v>
      </c>
      <c r="B348" s="4">
        <v>46104</v>
      </c>
      <c r="C348" s="1" t="s">
        <v>18</v>
      </c>
      <c r="D348" s="1" t="s">
        <v>71</v>
      </c>
      <c r="E348" s="5">
        <v>27000</v>
      </c>
      <c r="F348" s="1">
        <v>1</v>
      </c>
      <c r="G348" s="4">
        <v>46112</v>
      </c>
      <c r="H348" s="4"/>
      <c r="I348" s="4"/>
      <c r="J348" s="4"/>
      <c r="K348" s="1" t="s">
        <v>69</v>
      </c>
      <c r="L348" s="1"/>
      <c r="M348" s="1"/>
      <c r="N348" s="1"/>
      <c r="O348" s="1"/>
      <c r="P348" s="1"/>
      <c r="Q348" s="1"/>
      <c r="R348" s="1"/>
      <c r="S348" s="1"/>
    </row>
    <row r="349" spans="1:19" ht="23" customHeight="1">
      <c r="A349" s="1" t="s">
        <v>406</v>
      </c>
      <c r="B349" s="4">
        <v>46032</v>
      </c>
      <c r="C349" s="1" t="s">
        <v>18</v>
      </c>
      <c r="D349" s="1" t="s">
        <v>62</v>
      </c>
      <c r="E349" s="5">
        <v>18000</v>
      </c>
      <c r="F349" s="1">
        <v>1</v>
      </c>
      <c r="G349" s="4"/>
      <c r="H349" s="4"/>
      <c r="I349" s="4"/>
      <c r="J349" s="4">
        <v>46035</v>
      </c>
      <c r="K349" s="1" t="s">
        <v>86</v>
      </c>
      <c r="L349" s="1"/>
      <c r="M349" s="1"/>
      <c r="N349" s="1"/>
      <c r="O349" s="1"/>
      <c r="P349" s="1"/>
      <c r="Q349" s="1"/>
      <c r="R349" s="1"/>
      <c r="S349" s="1"/>
    </row>
    <row r="350" spans="1:19" ht="23" customHeight="1">
      <c r="A350" s="1" t="s">
        <v>407</v>
      </c>
      <c r="B350" s="4">
        <v>46107</v>
      </c>
      <c r="C350" s="1" t="s">
        <v>19</v>
      </c>
      <c r="D350" s="1" t="s">
        <v>54</v>
      </c>
      <c r="E350" s="5">
        <v>23000</v>
      </c>
      <c r="F350" s="1">
        <v>0</v>
      </c>
      <c r="G350" s="4">
        <v>46108</v>
      </c>
      <c r="H350" s="4"/>
      <c r="I350" s="4"/>
      <c r="J350" s="4"/>
      <c r="K350" s="1" t="s">
        <v>69</v>
      </c>
      <c r="L350" s="1"/>
      <c r="M350" s="1"/>
      <c r="N350" s="1"/>
      <c r="O350" s="1"/>
      <c r="P350" s="1"/>
      <c r="Q350" s="1"/>
      <c r="R350" s="1"/>
      <c r="S350" s="1"/>
    </row>
    <row r="351" spans="1:19" ht="23" customHeight="1">
      <c r="A351" s="1" t="s">
        <v>408</v>
      </c>
      <c r="B351" s="4">
        <v>46082</v>
      </c>
      <c r="C351" s="1" t="s">
        <v>19</v>
      </c>
      <c r="D351" s="1" t="s">
        <v>54</v>
      </c>
      <c r="E351" s="5">
        <v>5000</v>
      </c>
      <c r="F351" s="1">
        <v>0</v>
      </c>
      <c r="G351" s="4">
        <v>46084</v>
      </c>
      <c r="H351" s="4">
        <v>46088</v>
      </c>
      <c r="I351" s="4">
        <v>46089</v>
      </c>
      <c r="J351" s="4"/>
      <c r="K351" s="1" t="s">
        <v>55</v>
      </c>
      <c r="L351" s="1"/>
      <c r="M351" s="1"/>
      <c r="N351" s="1"/>
      <c r="O351" s="1"/>
      <c r="P351" s="1"/>
      <c r="Q351" s="1"/>
      <c r="R351" s="1"/>
      <c r="S351" s="1"/>
    </row>
    <row r="352" spans="1:19" ht="23" customHeight="1">
      <c r="A352" s="1" t="s">
        <v>409</v>
      </c>
      <c r="B352" s="4">
        <v>46037</v>
      </c>
      <c r="C352" s="1" t="s">
        <v>19</v>
      </c>
      <c r="D352" s="1" t="s">
        <v>54</v>
      </c>
      <c r="E352" s="5">
        <v>23000</v>
      </c>
      <c r="F352" s="1">
        <v>0</v>
      </c>
      <c r="G352" s="4">
        <v>46039</v>
      </c>
      <c r="H352" s="4">
        <v>46043</v>
      </c>
      <c r="I352" s="4">
        <v>46046</v>
      </c>
      <c r="J352" s="4"/>
      <c r="K352" s="1" t="s">
        <v>63</v>
      </c>
      <c r="L352" s="1"/>
      <c r="M352" s="1"/>
      <c r="N352" s="1"/>
      <c r="O352" s="1"/>
      <c r="P352" s="1"/>
      <c r="Q352" s="1"/>
      <c r="R352" s="1"/>
      <c r="S352" s="1"/>
    </row>
    <row r="353" spans="1:19" ht="23" customHeight="1">
      <c r="A353" s="1" t="s">
        <v>410</v>
      </c>
      <c r="B353" s="4">
        <v>46041</v>
      </c>
      <c r="C353" s="1" t="s">
        <v>18</v>
      </c>
      <c r="D353" s="1" t="s">
        <v>59</v>
      </c>
      <c r="E353" s="5">
        <v>48000</v>
      </c>
      <c r="F353" s="1">
        <v>0</v>
      </c>
      <c r="G353" s="4">
        <v>46043</v>
      </c>
      <c r="H353" s="4">
        <v>46045</v>
      </c>
      <c r="I353" s="4">
        <v>46047</v>
      </c>
      <c r="J353" s="4"/>
      <c r="K353" s="1" t="s">
        <v>55</v>
      </c>
      <c r="L353" s="1"/>
      <c r="M353" s="1"/>
      <c r="N353" s="1"/>
      <c r="O353" s="1"/>
      <c r="P353" s="1"/>
      <c r="Q353" s="1"/>
      <c r="R353" s="1"/>
      <c r="S353" s="1"/>
    </row>
    <row r="354" spans="1:19" ht="23" customHeight="1">
      <c r="A354" s="1" t="s">
        <v>411</v>
      </c>
      <c r="B354" s="4">
        <v>46097</v>
      </c>
      <c r="C354" s="1" t="s">
        <v>18</v>
      </c>
      <c r="D354" s="1" t="s">
        <v>71</v>
      </c>
      <c r="E354" s="5">
        <v>13000</v>
      </c>
      <c r="F354" s="1">
        <v>0</v>
      </c>
      <c r="G354" s="4">
        <v>46097</v>
      </c>
      <c r="H354" s="4">
        <v>46101</v>
      </c>
      <c r="I354" s="4">
        <v>46102</v>
      </c>
      <c r="J354" s="4"/>
      <c r="K354" s="1" t="s">
        <v>55</v>
      </c>
      <c r="L354" s="1"/>
      <c r="M354" s="1"/>
      <c r="N354" s="1"/>
      <c r="O354" s="1"/>
      <c r="P354" s="1"/>
      <c r="Q354" s="1"/>
      <c r="R354" s="1"/>
      <c r="S354" s="1"/>
    </row>
    <row r="355" spans="1:19" ht="23" customHeight="1">
      <c r="A355" s="1" t="s">
        <v>412</v>
      </c>
      <c r="B355" s="4">
        <v>46081</v>
      </c>
      <c r="C355" s="1" t="s">
        <v>18</v>
      </c>
      <c r="D355" s="1" t="s">
        <v>62</v>
      </c>
      <c r="E355" s="5">
        <v>41000</v>
      </c>
      <c r="F355" s="1">
        <v>0</v>
      </c>
      <c r="G355" s="4">
        <v>46082</v>
      </c>
      <c r="H355" s="4">
        <v>46086</v>
      </c>
      <c r="I355" s="4">
        <v>46089</v>
      </c>
      <c r="J355" s="4"/>
      <c r="K355" s="1" t="s">
        <v>55</v>
      </c>
      <c r="L355" s="1"/>
      <c r="M355" s="1"/>
      <c r="N355" s="1"/>
      <c r="O355" s="1"/>
      <c r="P355" s="1"/>
      <c r="Q355" s="1"/>
      <c r="R355" s="1"/>
      <c r="S355" s="1"/>
    </row>
    <row r="356" spans="1:19" ht="23" customHeight="1">
      <c r="A356" s="1" t="s">
        <v>413</v>
      </c>
      <c r="B356" s="4">
        <v>46041</v>
      </c>
      <c r="C356" s="1" t="s">
        <v>18</v>
      </c>
      <c r="D356" s="1" t="s">
        <v>62</v>
      </c>
      <c r="E356" s="5">
        <v>22000</v>
      </c>
      <c r="F356" s="1">
        <v>0</v>
      </c>
      <c r="G356" s="4">
        <v>46041</v>
      </c>
      <c r="H356" s="4">
        <v>46048</v>
      </c>
      <c r="I356" s="4">
        <v>46051</v>
      </c>
      <c r="J356" s="4"/>
      <c r="K356" s="1" t="s">
        <v>55</v>
      </c>
      <c r="L356" s="1"/>
      <c r="M356" s="1"/>
      <c r="N356" s="1"/>
      <c r="O356" s="1"/>
      <c r="P356" s="1"/>
      <c r="Q356" s="1"/>
      <c r="R356" s="1"/>
      <c r="S356" s="1"/>
    </row>
    <row r="357" spans="1:19" ht="23" customHeight="1">
      <c r="A357" s="1" t="s">
        <v>414</v>
      </c>
      <c r="B357" s="4">
        <v>46077</v>
      </c>
      <c r="C357" s="1" t="s">
        <v>18</v>
      </c>
      <c r="D357" s="1" t="s">
        <v>59</v>
      </c>
      <c r="E357" s="5">
        <v>12000</v>
      </c>
      <c r="F357" s="1">
        <v>0</v>
      </c>
      <c r="G357" s="4">
        <v>46078</v>
      </c>
      <c r="H357" s="4">
        <v>46080</v>
      </c>
      <c r="I357" s="4">
        <v>46082</v>
      </c>
      <c r="J357" s="4"/>
      <c r="K357" s="1" t="s">
        <v>55</v>
      </c>
      <c r="L357" s="1"/>
      <c r="M357" s="1"/>
      <c r="N357" s="1"/>
      <c r="O357" s="1"/>
      <c r="P357" s="1"/>
      <c r="Q357" s="1"/>
      <c r="R357" s="1"/>
      <c r="S357" s="1"/>
    </row>
    <row r="358" spans="1:19" ht="23" customHeight="1">
      <c r="A358" s="1" t="s">
        <v>415</v>
      </c>
      <c r="B358" s="4">
        <v>46066</v>
      </c>
      <c r="C358" s="1" t="s">
        <v>18</v>
      </c>
      <c r="D358" s="1" t="s">
        <v>65</v>
      </c>
      <c r="E358" s="5">
        <v>34000</v>
      </c>
      <c r="F358" s="1">
        <v>0</v>
      </c>
      <c r="G358" s="4">
        <v>46068</v>
      </c>
      <c r="H358" s="4">
        <v>46073</v>
      </c>
      <c r="I358" s="4">
        <v>46075</v>
      </c>
      <c r="J358" s="4"/>
      <c r="K358" s="1" t="s">
        <v>55</v>
      </c>
      <c r="L358" s="1"/>
      <c r="M358" s="1"/>
      <c r="N358" s="1"/>
      <c r="O358" s="1"/>
      <c r="P358" s="1"/>
      <c r="Q358" s="1"/>
      <c r="R358" s="1"/>
      <c r="S358" s="1"/>
    </row>
    <row r="359" spans="1:19" ht="23" customHeight="1">
      <c r="A359" s="1" t="s">
        <v>416</v>
      </c>
      <c r="B359" s="4">
        <v>46065</v>
      </c>
      <c r="C359" s="1" t="s">
        <v>19</v>
      </c>
      <c r="D359" s="1" t="s">
        <v>54</v>
      </c>
      <c r="E359" s="5">
        <v>47000</v>
      </c>
      <c r="F359" s="1">
        <v>0</v>
      </c>
      <c r="G359" s="4">
        <v>46065</v>
      </c>
      <c r="H359" s="4">
        <v>46066</v>
      </c>
      <c r="I359" s="4">
        <v>46069</v>
      </c>
      <c r="J359" s="4"/>
      <c r="K359" s="1" t="s">
        <v>55</v>
      </c>
      <c r="L359" s="1"/>
      <c r="M359" s="1"/>
      <c r="N359" s="1"/>
      <c r="O359" s="1"/>
      <c r="P359" s="1"/>
      <c r="Q359" s="1"/>
      <c r="R359" s="1"/>
      <c r="S359" s="1"/>
    </row>
    <row r="360" spans="1:19" ht="23" customHeight="1">
      <c r="A360" s="1" t="s">
        <v>417</v>
      </c>
      <c r="B360" s="4">
        <v>46033</v>
      </c>
      <c r="C360" s="1" t="s">
        <v>18</v>
      </c>
      <c r="D360" s="1" t="s">
        <v>65</v>
      </c>
      <c r="E360" s="5">
        <v>48000</v>
      </c>
      <c r="F360" s="1">
        <v>1</v>
      </c>
      <c r="G360" s="4">
        <v>46042</v>
      </c>
      <c r="H360" s="4">
        <v>46047</v>
      </c>
      <c r="I360" s="4">
        <v>46050</v>
      </c>
      <c r="J360" s="4"/>
      <c r="K360" s="1" t="s">
        <v>55</v>
      </c>
      <c r="L360" s="1"/>
      <c r="M360" s="1"/>
      <c r="N360" s="1"/>
      <c r="O360" s="1"/>
      <c r="P360" s="1"/>
      <c r="Q360" s="1"/>
      <c r="R360" s="1"/>
      <c r="S360" s="1"/>
    </row>
    <row r="361" spans="1:19" ht="23" customHeight="1">
      <c r="A361" s="1" t="s">
        <v>418</v>
      </c>
      <c r="B361" s="4">
        <v>46105</v>
      </c>
      <c r="C361" s="1" t="s">
        <v>19</v>
      </c>
      <c r="D361" s="1" t="s">
        <v>54</v>
      </c>
      <c r="E361" s="5">
        <v>23000</v>
      </c>
      <c r="F361" s="1">
        <v>0</v>
      </c>
      <c r="G361" s="4">
        <v>46107</v>
      </c>
      <c r="H361" s="4">
        <v>46111</v>
      </c>
      <c r="I361" s="4"/>
      <c r="J361" s="4"/>
      <c r="K361" s="1" t="s">
        <v>69</v>
      </c>
      <c r="L361" s="1"/>
      <c r="M361" s="1"/>
      <c r="N361" s="1"/>
      <c r="O361" s="1"/>
      <c r="P361" s="1"/>
      <c r="Q361" s="1"/>
      <c r="R361" s="1"/>
      <c r="S361" s="1"/>
    </row>
    <row r="362" spans="1:19" ht="23" customHeight="1">
      <c r="A362" s="1" t="s">
        <v>419</v>
      </c>
      <c r="B362" s="4">
        <v>46038</v>
      </c>
      <c r="C362" s="1" t="s">
        <v>18</v>
      </c>
      <c r="D362" s="1" t="s">
        <v>59</v>
      </c>
      <c r="E362" s="5">
        <v>36000</v>
      </c>
      <c r="F362" s="1">
        <v>0</v>
      </c>
      <c r="G362" s="4">
        <v>46038</v>
      </c>
      <c r="H362" s="4">
        <v>46044</v>
      </c>
      <c r="I362" s="4">
        <v>46046</v>
      </c>
      <c r="J362" s="4"/>
      <c r="K362" s="1" t="s">
        <v>55</v>
      </c>
      <c r="L362" s="1"/>
      <c r="M362" s="1"/>
      <c r="N362" s="1"/>
      <c r="O362" s="1"/>
      <c r="P362" s="1"/>
      <c r="Q362" s="1"/>
      <c r="R362" s="1"/>
      <c r="S362" s="1"/>
    </row>
    <row r="363" spans="1:19" ht="23" customHeight="1">
      <c r="A363" s="1" t="s">
        <v>420</v>
      </c>
      <c r="B363" s="4">
        <v>46079</v>
      </c>
      <c r="C363" s="1" t="s">
        <v>18</v>
      </c>
      <c r="D363" s="1" t="s">
        <v>62</v>
      </c>
      <c r="E363" s="5">
        <v>45000</v>
      </c>
      <c r="F363" s="1">
        <v>1</v>
      </c>
      <c r="G363" s="4">
        <v>46087</v>
      </c>
      <c r="H363" s="4">
        <v>46094</v>
      </c>
      <c r="I363" s="4">
        <v>46095</v>
      </c>
      <c r="J363" s="4"/>
      <c r="K363" s="1" t="s">
        <v>55</v>
      </c>
      <c r="L363" s="1"/>
      <c r="M363" s="1"/>
      <c r="N363" s="1"/>
      <c r="O363" s="1"/>
      <c r="P363" s="1"/>
      <c r="Q363" s="1"/>
      <c r="R363" s="1"/>
      <c r="S363" s="1"/>
    </row>
    <row r="364" spans="1:19" ht="23" customHeight="1">
      <c r="A364" s="1" t="s">
        <v>421</v>
      </c>
      <c r="B364" s="4">
        <v>46085</v>
      </c>
      <c r="C364" s="1" t="s">
        <v>18</v>
      </c>
      <c r="D364" s="1" t="s">
        <v>62</v>
      </c>
      <c r="E364" s="5">
        <v>33000</v>
      </c>
      <c r="F364" s="1">
        <v>0</v>
      </c>
      <c r="G364" s="4">
        <v>46085</v>
      </c>
      <c r="H364" s="4">
        <v>46088</v>
      </c>
      <c r="I364" s="4">
        <v>46089</v>
      </c>
      <c r="J364" s="4"/>
      <c r="K364" s="1" t="s">
        <v>55</v>
      </c>
      <c r="L364" s="1"/>
      <c r="M364" s="1"/>
      <c r="N364" s="1"/>
      <c r="O364" s="1"/>
      <c r="P364" s="1"/>
      <c r="Q364" s="1"/>
      <c r="R364" s="1"/>
      <c r="S364" s="1"/>
    </row>
    <row r="365" spans="1:19" ht="23" customHeight="1">
      <c r="A365" s="1" t="s">
        <v>422</v>
      </c>
      <c r="B365" s="4">
        <v>46076</v>
      </c>
      <c r="C365" s="1" t="s">
        <v>18</v>
      </c>
      <c r="D365" s="1" t="s">
        <v>71</v>
      </c>
      <c r="E365" s="5">
        <v>8000</v>
      </c>
      <c r="F365" s="1">
        <v>0</v>
      </c>
      <c r="G365" s="4">
        <v>46076</v>
      </c>
      <c r="H365" s="4">
        <v>46079</v>
      </c>
      <c r="I365" s="4">
        <v>46080</v>
      </c>
      <c r="J365" s="4"/>
      <c r="K365" s="1" t="s">
        <v>55</v>
      </c>
      <c r="L365" s="1"/>
      <c r="M365" s="1"/>
      <c r="N365" s="1"/>
      <c r="O365" s="1"/>
      <c r="P365" s="1"/>
      <c r="Q365" s="1"/>
      <c r="R365" s="1"/>
      <c r="S365" s="1"/>
    </row>
    <row r="366" spans="1:19" ht="23" customHeight="1">
      <c r="A366" s="1" t="s">
        <v>423</v>
      </c>
      <c r="B366" s="4">
        <v>46087</v>
      </c>
      <c r="C366" s="1" t="s">
        <v>18</v>
      </c>
      <c r="D366" s="1" t="s">
        <v>65</v>
      </c>
      <c r="E366" s="5">
        <v>7000</v>
      </c>
      <c r="F366" s="1">
        <v>1</v>
      </c>
      <c r="G366" s="4"/>
      <c r="H366" s="4"/>
      <c r="I366" s="4"/>
      <c r="J366" s="4">
        <v>46095</v>
      </c>
      <c r="K366" s="1" t="s">
        <v>86</v>
      </c>
      <c r="L366" s="1"/>
      <c r="M366" s="1"/>
      <c r="N366" s="1"/>
      <c r="O366" s="1"/>
      <c r="P366" s="1"/>
      <c r="Q366" s="1"/>
      <c r="R366" s="1"/>
      <c r="S366" s="1"/>
    </row>
    <row r="367" spans="1:19" ht="23" customHeight="1">
      <c r="A367" s="1" t="s">
        <v>424</v>
      </c>
      <c r="B367" s="4">
        <v>46043</v>
      </c>
      <c r="C367" s="1" t="s">
        <v>19</v>
      </c>
      <c r="D367" s="1" t="s">
        <v>54</v>
      </c>
      <c r="E367" s="5">
        <v>38000</v>
      </c>
      <c r="F367" s="1">
        <v>0</v>
      </c>
      <c r="G367" s="4">
        <v>46044</v>
      </c>
      <c r="H367" s="4">
        <v>46045</v>
      </c>
      <c r="I367" s="4">
        <v>46048</v>
      </c>
      <c r="J367" s="4"/>
      <c r="K367" s="1" t="s">
        <v>55</v>
      </c>
      <c r="L367" s="1"/>
      <c r="M367" s="1"/>
      <c r="N367" s="1"/>
      <c r="O367" s="1"/>
      <c r="P367" s="1"/>
      <c r="Q367" s="1"/>
      <c r="R367" s="1"/>
      <c r="S367" s="1"/>
    </row>
    <row r="368" spans="1:19" ht="23" customHeight="1">
      <c r="A368" s="1" t="s">
        <v>425</v>
      </c>
      <c r="B368" s="4">
        <v>46091</v>
      </c>
      <c r="C368" s="1" t="s">
        <v>18</v>
      </c>
      <c r="D368" s="1" t="s">
        <v>59</v>
      </c>
      <c r="E368" s="5">
        <v>47000</v>
      </c>
      <c r="F368" s="1">
        <v>0</v>
      </c>
      <c r="G368" s="4">
        <v>46092</v>
      </c>
      <c r="H368" s="4">
        <v>46095</v>
      </c>
      <c r="I368" s="4">
        <v>46098</v>
      </c>
      <c r="J368" s="4"/>
      <c r="K368" s="1" t="s">
        <v>55</v>
      </c>
      <c r="L368" s="1"/>
      <c r="M368" s="1"/>
      <c r="N368" s="1"/>
      <c r="O368" s="1"/>
      <c r="P368" s="1"/>
      <c r="Q368" s="1"/>
      <c r="R368" s="1"/>
      <c r="S368" s="1"/>
    </row>
    <row r="369" spans="1:19" ht="23" customHeight="1">
      <c r="A369" s="1" t="s">
        <v>426</v>
      </c>
      <c r="B369" s="4">
        <v>46046</v>
      </c>
      <c r="C369" s="1" t="s">
        <v>18</v>
      </c>
      <c r="D369" s="1" t="s">
        <v>59</v>
      </c>
      <c r="E369" s="5">
        <v>39000</v>
      </c>
      <c r="F369" s="1">
        <v>0</v>
      </c>
      <c r="G369" s="4">
        <v>46047</v>
      </c>
      <c r="H369" s="4">
        <v>46053</v>
      </c>
      <c r="I369" s="4">
        <v>46055</v>
      </c>
      <c r="J369" s="4"/>
      <c r="K369" s="1" t="s">
        <v>55</v>
      </c>
      <c r="L369" s="1"/>
      <c r="M369" s="1"/>
      <c r="N369" s="1"/>
      <c r="O369" s="1"/>
      <c r="P369" s="1"/>
      <c r="Q369" s="1"/>
      <c r="R369" s="1"/>
      <c r="S369" s="1"/>
    </row>
    <row r="370" spans="1:19" ht="23" customHeight="1">
      <c r="A370" s="1" t="s">
        <v>427</v>
      </c>
      <c r="B370" s="4">
        <v>46045</v>
      </c>
      <c r="C370" s="1" t="s">
        <v>18</v>
      </c>
      <c r="D370" s="1" t="s">
        <v>62</v>
      </c>
      <c r="E370" s="5">
        <v>18000</v>
      </c>
      <c r="F370" s="1">
        <v>0</v>
      </c>
      <c r="G370" s="4">
        <v>46045</v>
      </c>
      <c r="H370" s="4">
        <v>46053</v>
      </c>
      <c r="I370" s="4">
        <v>46055</v>
      </c>
      <c r="J370" s="4"/>
      <c r="K370" s="1" t="s">
        <v>55</v>
      </c>
      <c r="L370" s="1"/>
      <c r="M370" s="1"/>
      <c r="N370" s="1"/>
      <c r="O370" s="1"/>
      <c r="P370" s="1"/>
      <c r="Q370" s="1"/>
      <c r="R370" s="1"/>
      <c r="S370" s="1"/>
    </row>
    <row r="371" spans="1:19" ht="23" customHeight="1">
      <c r="A371" s="1" t="s">
        <v>428</v>
      </c>
      <c r="B371" s="4">
        <v>46027</v>
      </c>
      <c r="C371" s="1" t="s">
        <v>19</v>
      </c>
      <c r="D371" s="1" t="s">
        <v>54</v>
      </c>
      <c r="E371" s="5">
        <v>15000</v>
      </c>
      <c r="F371" s="1">
        <v>1</v>
      </c>
      <c r="G371" s="4">
        <v>46030</v>
      </c>
      <c r="H371" s="4">
        <v>46032</v>
      </c>
      <c r="I371" s="4">
        <v>46034</v>
      </c>
      <c r="J371" s="4"/>
      <c r="K371" s="1" t="s">
        <v>55</v>
      </c>
      <c r="L371" s="1"/>
      <c r="M371" s="1"/>
      <c r="N371" s="1"/>
      <c r="O371" s="1"/>
      <c r="P371" s="1"/>
      <c r="Q371" s="1"/>
      <c r="R371" s="1"/>
      <c r="S371" s="1"/>
    </row>
    <row r="372" spans="1:19" ht="23" customHeight="1">
      <c r="A372" s="1" t="s">
        <v>429</v>
      </c>
      <c r="B372" s="4">
        <v>46069</v>
      </c>
      <c r="C372" s="1" t="s">
        <v>19</v>
      </c>
      <c r="D372" s="1" t="s">
        <v>54</v>
      </c>
      <c r="E372" s="5">
        <v>9000</v>
      </c>
      <c r="F372" s="1">
        <v>0</v>
      </c>
      <c r="G372" s="4">
        <v>46071</v>
      </c>
      <c r="H372" s="4">
        <v>46075</v>
      </c>
      <c r="I372" s="4">
        <v>46076</v>
      </c>
      <c r="J372" s="4"/>
      <c r="K372" s="1" t="s">
        <v>55</v>
      </c>
      <c r="L372" s="1"/>
      <c r="M372" s="1"/>
      <c r="N372" s="1"/>
      <c r="O372" s="1"/>
      <c r="P372" s="1"/>
      <c r="Q372" s="1"/>
      <c r="R372" s="1"/>
      <c r="S372" s="1"/>
    </row>
    <row r="373" spans="1:19" ht="23" customHeight="1">
      <c r="A373" s="1" t="s">
        <v>430</v>
      </c>
      <c r="B373" s="4">
        <v>46059</v>
      </c>
      <c r="C373" s="1" t="s">
        <v>19</v>
      </c>
      <c r="D373" s="1" t="s">
        <v>54</v>
      </c>
      <c r="E373" s="5">
        <v>6000</v>
      </c>
      <c r="F373" s="1">
        <v>0</v>
      </c>
      <c r="G373" s="4">
        <v>46060</v>
      </c>
      <c r="H373" s="4">
        <v>46063</v>
      </c>
      <c r="I373" s="4">
        <v>46066</v>
      </c>
      <c r="J373" s="4"/>
      <c r="K373" s="1" t="s">
        <v>55</v>
      </c>
      <c r="L373" s="1"/>
      <c r="M373" s="1"/>
      <c r="N373" s="1"/>
      <c r="O373" s="1"/>
      <c r="P373" s="1"/>
      <c r="Q373" s="1"/>
      <c r="R373" s="1"/>
      <c r="S373" s="1"/>
    </row>
    <row r="374" spans="1:19" ht="23" customHeight="1">
      <c r="A374" s="1" t="s">
        <v>431</v>
      </c>
      <c r="B374" s="4">
        <v>46037</v>
      </c>
      <c r="C374" s="1" t="s">
        <v>19</v>
      </c>
      <c r="D374" s="1" t="s">
        <v>54</v>
      </c>
      <c r="E374" s="5">
        <v>7000</v>
      </c>
      <c r="F374" s="1">
        <v>0</v>
      </c>
      <c r="G374" s="4">
        <v>46037</v>
      </c>
      <c r="H374" s="4">
        <v>46043</v>
      </c>
      <c r="I374" s="4">
        <v>46046</v>
      </c>
      <c r="J374" s="4"/>
      <c r="K374" s="1" t="s">
        <v>55</v>
      </c>
      <c r="L374" s="1"/>
      <c r="M374" s="1"/>
      <c r="N374" s="1"/>
      <c r="O374" s="1"/>
      <c r="P374" s="1"/>
      <c r="Q374" s="1"/>
      <c r="R374" s="1"/>
      <c r="S374" s="1"/>
    </row>
    <row r="375" spans="1:19" ht="23" customHeight="1">
      <c r="A375" s="1" t="s">
        <v>432</v>
      </c>
      <c r="B375" s="4">
        <v>46108</v>
      </c>
      <c r="C375" s="1" t="s">
        <v>19</v>
      </c>
      <c r="D375" s="1" t="s">
        <v>54</v>
      </c>
      <c r="E375" s="5">
        <v>6000</v>
      </c>
      <c r="F375" s="1">
        <v>0</v>
      </c>
      <c r="G375" s="4">
        <v>46110</v>
      </c>
      <c r="H375" s="4"/>
      <c r="I375" s="4"/>
      <c r="J375" s="4"/>
      <c r="K375" s="1" t="s">
        <v>69</v>
      </c>
      <c r="L375" s="1"/>
      <c r="M375" s="1"/>
      <c r="N375" s="1"/>
      <c r="O375" s="1"/>
      <c r="P375" s="1"/>
      <c r="Q375" s="1"/>
      <c r="R375" s="1"/>
      <c r="S375" s="1"/>
    </row>
    <row r="376" spans="1:19" ht="23" customHeight="1">
      <c r="A376" s="1" t="s">
        <v>433</v>
      </c>
      <c r="B376" s="4">
        <v>46048</v>
      </c>
      <c r="C376" s="1" t="s">
        <v>18</v>
      </c>
      <c r="D376" s="1" t="s">
        <v>65</v>
      </c>
      <c r="E376" s="5">
        <v>30000</v>
      </c>
      <c r="F376" s="1">
        <v>0</v>
      </c>
      <c r="G376" s="4">
        <v>46050</v>
      </c>
      <c r="H376" s="4">
        <v>46054</v>
      </c>
      <c r="I376" s="4">
        <v>46056</v>
      </c>
      <c r="J376" s="4"/>
      <c r="K376" s="1" t="s">
        <v>55</v>
      </c>
      <c r="L376" s="1"/>
      <c r="M376" s="1"/>
      <c r="N376" s="1"/>
      <c r="O376" s="1"/>
      <c r="P376" s="1"/>
      <c r="Q376" s="1"/>
      <c r="R376" s="1"/>
      <c r="S376" s="1"/>
    </row>
    <row r="377" spans="1:19" ht="23" customHeight="1">
      <c r="A377" s="1" t="s">
        <v>434</v>
      </c>
      <c r="B377" s="4">
        <v>46052</v>
      </c>
      <c r="C377" s="1" t="s">
        <v>19</v>
      </c>
      <c r="D377" s="1" t="s">
        <v>54</v>
      </c>
      <c r="E377" s="5">
        <v>27000</v>
      </c>
      <c r="F377" s="1">
        <v>0</v>
      </c>
      <c r="G377" s="4">
        <v>46052</v>
      </c>
      <c r="H377" s="4">
        <v>46054</v>
      </c>
      <c r="I377" s="4">
        <v>46055</v>
      </c>
      <c r="J377" s="4"/>
      <c r="K377" s="1" t="s">
        <v>55</v>
      </c>
      <c r="L377" s="1"/>
      <c r="M377" s="1"/>
      <c r="N377" s="1"/>
      <c r="O377" s="1"/>
      <c r="P377" s="1"/>
      <c r="Q377" s="1"/>
      <c r="R377" s="1"/>
      <c r="S377" s="1"/>
    </row>
    <row r="378" spans="1:19" ht="23" customHeight="1">
      <c r="A378" s="1" t="s">
        <v>435</v>
      </c>
      <c r="B378" s="4">
        <v>46036</v>
      </c>
      <c r="C378" s="1" t="s">
        <v>18</v>
      </c>
      <c r="D378" s="1" t="s">
        <v>65</v>
      </c>
      <c r="E378" s="5">
        <v>44000</v>
      </c>
      <c r="F378" s="1">
        <v>1</v>
      </c>
      <c r="G378" s="4">
        <v>46044</v>
      </c>
      <c r="H378" s="4">
        <v>46047</v>
      </c>
      <c r="I378" s="4">
        <v>46049</v>
      </c>
      <c r="J378" s="4"/>
      <c r="K378" s="1" t="s">
        <v>55</v>
      </c>
      <c r="L378" s="1"/>
      <c r="M378" s="1"/>
      <c r="N378" s="1"/>
      <c r="O378" s="1"/>
      <c r="P378" s="1"/>
      <c r="Q378" s="1"/>
      <c r="R378" s="1"/>
      <c r="S378" s="1"/>
    </row>
    <row r="379" spans="1:19" ht="23" customHeight="1">
      <c r="A379" s="1" t="s">
        <v>436</v>
      </c>
      <c r="B379" s="4">
        <v>46067</v>
      </c>
      <c r="C379" s="1" t="s">
        <v>19</v>
      </c>
      <c r="D379" s="1" t="s">
        <v>54</v>
      </c>
      <c r="E379" s="5">
        <v>20000</v>
      </c>
      <c r="F379" s="1">
        <v>0</v>
      </c>
      <c r="G379" s="4">
        <v>46068</v>
      </c>
      <c r="H379" s="4">
        <v>46070</v>
      </c>
      <c r="I379" s="4">
        <v>46071</v>
      </c>
      <c r="J379" s="4"/>
      <c r="K379" s="1" t="s">
        <v>55</v>
      </c>
      <c r="L379" s="1"/>
      <c r="M379" s="1"/>
      <c r="N379" s="1"/>
      <c r="O379" s="1"/>
      <c r="P379" s="1"/>
      <c r="Q379" s="1"/>
      <c r="R379" s="1"/>
      <c r="S379" s="1"/>
    </row>
    <row r="380" spans="1:19" ht="23" customHeight="1">
      <c r="A380" s="1" t="s">
        <v>437</v>
      </c>
      <c r="B380" s="4">
        <v>46034</v>
      </c>
      <c r="C380" s="1" t="s">
        <v>19</v>
      </c>
      <c r="D380" s="1" t="s">
        <v>54</v>
      </c>
      <c r="E380" s="5">
        <v>38000</v>
      </c>
      <c r="F380" s="1">
        <v>0</v>
      </c>
      <c r="G380" s="4">
        <v>46035</v>
      </c>
      <c r="H380" s="4">
        <v>46039</v>
      </c>
      <c r="I380" s="4">
        <v>46042</v>
      </c>
      <c r="J380" s="4"/>
      <c r="K380" s="1" t="s">
        <v>63</v>
      </c>
      <c r="L380" s="1"/>
      <c r="M380" s="1"/>
      <c r="N380" s="1"/>
      <c r="O380" s="1"/>
      <c r="P380" s="1"/>
      <c r="Q380" s="1"/>
      <c r="R380" s="1"/>
      <c r="S380" s="1"/>
    </row>
    <row r="381" spans="1:19" ht="23" customHeight="1">
      <c r="A381" s="1" t="s">
        <v>438</v>
      </c>
      <c r="B381" s="4">
        <v>46112</v>
      </c>
      <c r="C381" s="1" t="s">
        <v>19</v>
      </c>
      <c r="D381" s="1" t="s">
        <v>54</v>
      </c>
      <c r="E381" s="5">
        <v>22000</v>
      </c>
      <c r="F381" s="1">
        <v>0</v>
      </c>
      <c r="G381" s="4">
        <v>46112</v>
      </c>
      <c r="H381" s="4"/>
      <c r="I381" s="4"/>
      <c r="J381" s="4"/>
      <c r="K381" s="1" t="s">
        <v>69</v>
      </c>
      <c r="L381" s="1"/>
      <c r="M381" s="1"/>
      <c r="N381" s="1"/>
      <c r="O381" s="1"/>
      <c r="P381" s="1"/>
      <c r="Q381" s="1"/>
      <c r="R381" s="1"/>
      <c r="S381" s="1"/>
    </row>
    <row r="382" spans="1:19" ht="23" customHeight="1">
      <c r="A382" s="1" t="s">
        <v>439</v>
      </c>
      <c r="B382" s="4">
        <v>46045</v>
      </c>
      <c r="C382" s="1" t="s">
        <v>19</v>
      </c>
      <c r="D382" s="1" t="s">
        <v>54</v>
      </c>
      <c r="E382" s="5">
        <v>33000</v>
      </c>
      <c r="F382" s="1">
        <v>0</v>
      </c>
      <c r="G382" s="4">
        <v>46046</v>
      </c>
      <c r="H382" s="4">
        <v>46048</v>
      </c>
      <c r="I382" s="4">
        <v>46051</v>
      </c>
      <c r="J382" s="4"/>
      <c r="K382" s="1" t="s">
        <v>55</v>
      </c>
      <c r="L382" s="1"/>
      <c r="M382" s="1"/>
      <c r="N382" s="1"/>
      <c r="O382" s="1"/>
      <c r="P382" s="1"/>
      <c r="Q382" s="1"/>
      <c r="R382" s="1"/>
      <c r="S382" s="1"/>
    </row>
    <row r="383" spans="1:19" ht="23" customHeight="1">
      <c r="A383" s="1" t="s">
        <v>440</v>
      </c>
      <c r="B383" s="4">
        <v>46067</v>
      </c>
      <c r="C383" s="1" t="s">
        <v>18</v>
      </c>
      <c r="D383" s="1" t="s">
        <v>65</v>
      </c>
      <c r="E383" s="5">
        <v>50000</v>
      </c>
      <c r="F383" s="1">
        <v>1</v>
      </c>
      <c r="G383" s="4">
        <v>46077</v>
      </c>
      <c r="H383" s="4">
        <v>46079</v>
      </c>
      <c r="I383" s="4">
        <v>46081</v>
      </c>
      <c r="J383" s="4"/>
      <c r="K383" s="1" t="s">
        <v>63</v>
      </c>
      <c r="L383" s="1"/>
      <c r="M383" s="1"/>
      <c r="N383" s="1"/>
      <c r="O383" s="1"/>
      <c r="P383" s="1"/>
      <c r="Q383" s="1"/>
      <c r="R383" s="1"/>
      <c r="S383" s="1"/>
    </row>
    <row r="384" spans="1:19" ht="23" customHeight="1">
      <c r="A384" s="1" t="s">
        <v>441</v>
      </c>
      <c r="B384" s="4">
        <v>46073</v>
      </c>
      <c r="C384" s="1" t="s">
        <v>18</v>
      </c>
      <c r="D384" s="1" t="s">
        <v>65</v>
      </c>
      <c r="E384" s="5">
        <v>36000</v>
      </c>
      <c r="F384" s="1">
        <v>0</v>
      </c>
      <c r="G384" s="4">
        <v>46073</v>
      </c>
      <c r="H384" s="4">
        <v>46076</v>
      </c>
      <c r="I384" s="4">
        <v>46078</v>
      </c>
      <c r="J384" s="4"/>
      <c r="K384" s="1" t="s">
        <v>63</v>
      </c>
      <c r="L384" s="1"/>
      <c r="M384" s="1"/>
      <c r="N384" s="1"/>
      <c r="O384" s="1"/>
      <c r="P384" s="1"/>
      <c r="Q384" s="1"/>
      <c r="R384" s="1"/>
      <c r="S384" s="1"/>
    </row>
    <row r="385" spans="1:19" ht="23" customHeight="1">
      <c r="A385" s="1" t="s">
        <v>442</v>
      </c>
      <c r="B385" s="4">
        <v>46111</v>
      </c>
      <c r="C385" s="1" t="s">
        <v>19</v>
      </c>
      <c r="D385" s="1" t="s">
        <v>54</v>
      </c>
      <c r="E385" s="5">
        <v>24000</v>
      </c>
      <c r="F385" s="1">
        <v>0</v>
      </c>
      <c r="G385" s="4"/>
      <c r="H385" s="4"/>
      <c r="I385" s="4"/>
      <c r="J385" s="4"/>
      <c r="K385" s="1" t="s">
        <v>69</v>
      </c>
      <c r="L385" s="1"/>
      <c r="M385" s="1"/>
      <c r="N385" s="1"/>
      <c r="O385" s="1"/>
      <c r="P385" s="1"/>
      <c r="Q385" s="1"/>
      <c r="R385" s="1"/>
      <c r="S385" s="1"/>
    </row>
    <row r="386" spans="1:19" ht="23" customHeight="1">
      <c r="A386" s="1" t="s">
        <v>443</v>
      </c>
      <c r="B386" s="4">
        <v>46035</v>
      </c>
      <c r="C386" s="1" t="s">
        <v>18</v>
      </c>
      <c r="D386" s="1" t="s">
        <v>59</v>
      </c>
      <c r="E386" s="5">
        <v>29000</v>
      </c>
      <c r="F386" s="1">
        <v>0</v>
      </c>
      <c r="G386" s="4">
        <v>46035</v>
      </c>
      <c r="H386" s="4">
        <v>46041</v>
      </c>
      <c r="I386" s="4">
        <v>46043</v>
      </c>
      <c r="J386" s="4"/>
      <c r="K386" s="1" t="s">
        <v>63</v>
      </c>
      <c r="L386" s="1"/>
      <c r="M386" s="1"/>
      <c r="N386" s="1"/>
      <c r="O386" s="1"/>
      <c r="P386" s="1"/>
      <c r="Q386" s="1"/>
      <c r="R386" s="1"/>
      <c r="S386" s="1"/>
    </row>
    <row r="387" spans="1:19" ht="23" customHeight="1">
      <c r="A387" s="1" t="s">
        <v>444</v>
      </c>
      <c r="B387" s="4">
        <v>46084</v>
      </c>
      <c r="C387" s="1" t="s">
        <v>18</v>
      </c>
      <c r="D387" s="1" t="s">
        <v>59</v>
      </c>
      <c r="E387" s="5">
        <v>7000</v>
      </c>
      <c r="F387" s="1">
        <v>1</v>
      </c>
      <c r="G387" s="4">
        <v>46087</v>
      </c>
      <c r="H387" s="4">
        <v>46092</v>
      </c>
      <c r="I387" s="4">
        <v>46093</v>
      </c>
      <c r="J387" s="4"/>
      <c r="K387" s="1" t="s">
        <v>55</v>
      </c>
      <c r="L387" s="1"/>
      <c r="M387" s="1"/>
      <c r="N387" s="1"/>
      <c r="O387" s="1"/>
      <c r="P387" s="1"/>
      <c r="Q387" s="1"/>
      <c r="R387" s="1"/>
      <c r="S387" s="1"/>
    </row>
    <row r="388" spans="1:19" ht="23" customHeight="1">
      <c r="A388" s="1" t="s">
        <v>445</v>
      </c>
      <c r="B388" s="4">
        <v>46087</v>
      </c>
      <c r="C388" s="1" t="s">
        <v>18</v>
      </c>
      <c r="D388" s="1" t="s">
        <v>65</v>
      </c>
      <c r="E388" s="5">
        <v>28000</v>
      </c>
      <c r="F388" s="1">
        <v>1</v>
      </c>
      <c r="G388" s="4">
        <v>46095</v>
      </c>
      <c r="H388" s="4">
        <v>46101</v>
      </c>
      <c r="I388" s="4">
        <v>46104</v>
      </c>
      <c r="J388" s="4"/>
      <c r="K388" s="1" t="s">
        <v>63</v>
      </c>
      <c r="L388" s="1"/>
      <c r="M388" s="1"/>
      <c r="N388" s="1"/>
      <c r="O388" s="1"/>
      <c r="P388" s="1"/>
      <c r="Q388" s="1"/>
      <c r="R388" s="1"/>
      <c r="S388" s="1"/>
    </row>
    <row r="389" spans="1:19" ht="23" customHeight="1">
      <c r="A389" s="1" t="s">
        <v>446</v>
      </c>
      <c r="B389" s="4">
        <v>46097</v>
      </c>
      <c r="C389" s="1" t="s">
        <v>18</v>
      </c>
      <c r="D389" s="1" t="s">
        <v>65</v>
      </c>
      <c r="E389" s="5">
        <v>16000</v>
      </c>
      <c r="F389" s="1">
        <v>1</v>
      </c>
      <c r="G389" s="4">
        <v>46103</v>
      </c>
      <c r="H389" s="4">
        <v>46109</v>
      </c>
      <c r="I389" s="4">
        <v>46110</v>
      </c>
      <c r="J389" s="4"/>
      <c r="K389" s="1" t="s">
        <v>63</v>
      </c>
      <c r="L389" s="1"/>
      <c r="M389" s="1"/>
      <c r="N389" s="1"/>
      <c r="O389" s="1"/>
      <c r="P389" s="1"/>
      <c r="Q389" s="1"/>
      <c r="R389" s="1"/>
      <c r="S389" s="1"/>
    </row>
    <row r="390" spans="1:19" ht="23" customHeight="1">
      <c r="A390" s="1" t="s">
        <v>447</v>
      </c>
      <c r="B390" s="4">
        <v>46091</v>
      </c>
      <c r="C390" s="1" t="s">
        <v>19</v>
      </c>
      <c r="D390" s="1" t="s">
        <v>54</v>
      </c>
      <c r="E390" s="5">
        <v>44000</v>
      </c>
      <c r="F390" s="1">
        <v>1</v>
      </c>
      <c r="G390" s="4"/>
      <c r="H390" s="4"/>
      <c r="I390" s="4"/>
      <c r="J390" s="4">
        <v>46094</v>
      </c>
      <c r="K390" s="1" t="s">
        <v>86</v>
      </c>
      <c r="L390" s="1"/>
      <c r="M390" s="1"/>
      <c r="N390" s="1"/>
      <c r="O390" s="1"/>
      <c r="P390" s="1"/>
      <c r="Q390" s="1"/>
      <c r="R390" s="1"/>
      <c r="S390" s="1"/>
    </row>
    <row r="391" spans="1:19" ht="23" customHeight="1">
      <c r="A391" s="1" t="s">
        <v>448</v>
      </c>
      <c r="B391" s="4">
        <v>46081</v>
      </c>
      <c r="C391" s="1" t="s">
        <v>18</v>
      </c>
      <c r="D391" s="1" t="s">
        <v>59</v>
      </c>
      <c r="E391" s="5">
        <v>39000</v>
      </c>
      <c r="F391" s="1">
        <v>0</v>
      </c>
      <c r="G391" s="4">
        <v>46082</v>
      </c>
      <c r="H391" s="4">
        <v>46084</v>
      </c>
      <c r="I391" s="4">
        <v>46086</v>
      </c>
      <c r="J391" s="4"/>
      <c r="K391" s="1" t="s">
        <v>55</v>
      </c>
      <c r="L391" s="1"/>
      <c r="M391" s="1"/>
      <c r="N391" s="1"/>
      <c r="O391" s="1"/>
      <c r="P391" s="1"/>
      <c r="Q391" s="1"/>
      <c r="R391" s="1"/>
      <c r="S391" s="1"/>
    </row>
    <row r="392" spans="1:19" ht="23" customHeight="1">
      <c r="A392" s="1" t="s">
        <v>449</v>
      </c>
      <c r="B392" s="4">
        <v>46095</v>
      </c>
      <c r="C392" s="1" t="s">
        <v>18</v>
      </c>
      <c r="D392" s="1" t="s">
        <v>62</v>
      </c>
      <c r="E392" s="5">
        <v>14000</v>
      </c>
      <c r="F392" s="1">
        <v>0</v>
      </c>
      <c r="G392" s="4">
        <v>46096</v>
      </c>
      <c r="H392" s="4">
        <v>46099</v>
      </c>
      <c r="I392" s="4">
        <v>46102</v>
      </c>
      <c r="J392" s="4"/>
      <c r="K392" s="1" t="s">
        <v>55</v>
      </c>
      <c r="L392" s="1"/>
      <c r="M392" s="1"/>
      <c r="N392" s="1"/>
      <c r="O392" s="1"/>
      <c r="P392" s="1"/>
      <c r="Q392" s="1"/>
      <c r="R392" s="1"/>
      <c r="S392" s="1"/>
    </row>
    <row r="393" spans="1:19" ht="23" customHeight="1">
      <c r="A393" s="1" t="s">
        <v>450</v>
      </c>
      <c r="B393" s="4">
        <v>46048</v>
      </c>
      <c r="C393" s="1" t="s">
        <v>18</v>
      </c>
      <c r="D393" s="1" t="s">
        <v>65</v>
      </c>
      <c r="E393" s="5">
        <v>49000</v>
      </c>
      <c r="F393" s="1">
        <v>1</v>
      </c>
      <c r="G393" s="4">
        <v>46055</v>
      </c>
      <c r="H393" s="4">
        <v>46057</v>
      </c>
      <c r="I393" s="4">
        <v>46059</v>
      </c>
      <c r="J393" s="4"/>
      <c r="K393" s="1" t="s">
        <v>63</v>
      </c>
      <c r="L393" s="1"/>
      <c r="M393" s="1"/>
      <c r="N393" s="1"/>
      <c r="O393" s="1"/>
      <c r="P393" s="1"/>
      <c r="Q393" s="1"/>
      <c r="R393" s="1"/>
      <c r="S393" s="1"/>
    </row>
    <row r="394" spans="1:19" ht="23" customHeight="1">
      <c r="A394" s="1" t="s">
        <v>451</v>
      </c>
      <c r="B394" s="4">
        <v>46042</v>
      </c>
      <c r="C394" s="1" t="s">
        <v>18</v>
      </c>
      <c r="D394" s="1" t="s">
        <v>62</v>
      </c>
      <c r="E394" s="5">
        <v>36000</v>
      </c>
      <c r="F394" s="1">
        <v>0</v>
      </c>
      <c r="G394" s="4">
        <v>46042</v>
      </c>
      <c r="H394" s="4">
        <v>46049</v>
      </c>
      <c r="I394" s="4">
        <v>46052</v>
      </c>
      <c r="J394" s="4"/>
      <c r="K394" s="1" t="s">
        <v>55</v>
      </c>
      <c r="L394" s="1"/>
      <c r="M394" s="1"/>
      <c r="N394" s="1"/>
      <c r="O394" s="1"/>
      <c r="P394" s="1"/>
      <c r="Q394" s="1"/>
      <c r="R394" s="1"/>
      <c r="S394" s="1"/>
    </row>
    <row r="395" spans="1:19" ht="23" customHeight="1">
      <c r="A395" s="1" t="s">
        <v>452</v>
      </c>
      <c r="B395" s="4">
        <v>46101</v>
      </c>
      <c r="C395" s="1" t="s">
        <v>19</v>
      </c>
      <c r="D395" s="1" t="s">
        <v>54</v>
      </c>
      <c r="E395" s="5">
        <v>8000</v>
      </c>
      <c r="F395" s="1">
        <v>0</v>
      </c>
      <c r="G395" s="4">
        <v>46103</v>
      </c>
      <c r="H395" s="4">
        <v>46107</v>
      </c>
      <c r="I395" s="4">
        <v>46109</v>
      </c>
      <c r="J395" s="4"/>
      <c r="K395" s="1" t="s">
        <v>55</v>
      </c>
      <c r="L395" s="1"/>
      <c r="M395" s="1"/>
      <c r="N395" s="1"/>
      <c r="O395" s="1"/>
      <c r="P395" s="1"/>
      <c r="Q395" s="1"/>
      <c r="R395" s="1"/>
      <c r="S395" s="1"/>
    </row>
    <row r="396" spans="1:19" ht="23" customHeight="1">
      <c r="A396" s="1" t="s">
        <v>453</v>
      </c>
      <c r="B396" s="4">
        <v>46051</v>
      </c>
      <c r="C396" s="1" t="s">
        <v>18</v>
      </c>
      <c r="D396" s="1" t="s">
        <v>65</v>
      </c>
      <c r="E396" s="5">
        <v>31000</v>
      </c>
      <c r="F396" s="1">
        <v>1</v>
      </c>
      <c r="G396" s="4">
        <v>46059</v>
      </c>
      <c r="H396" s="4">
        <v>46061</v>
      </c>
      <c r="I396" s="4">
        <v>46063</v>
      </c>
      <c r="J396" s="4"/>
      <c r="K396" s="1" t="s">
        <v>55</v>
      </c>
      <c r="L396" s="1"/>
      <c r="M396" s="1"/>
      <c r="N396" s="1"/>
      <c r="O396" s="1"/>
      <c r="P396" s="1"/>
      <c r="Q396" s="1"/>
      <c r="R396" s="1"/>
      <c r="S396" s="1"/>
    </row>
    <row r="397" spans="1:19" ht="23" customHeight="1">
      <c r="A397" s="1" t="s">
        <v>454</v>
      </c>
      <c r="B397" s="4">
        <v>46056</v>
      </c>
      <c r="C397" s="1" t="s">
        <v>18</v>
      </c>
      <c r="D397" s="1" t="s">
        <v>59</v>
      </c>
      <c r="E397" s="5">
        <v>38000</v>
      </c>
      <c r="F397" s="1">
        <v>1</v>
      </c>
      <c r="G397" s="4"/>
      <c r="H397" s="4"/>
      <c r="I397" s="4"/>
      <c r="J397" s="4">
        <v>46059</v>
      </c>
      <c r="K397" s="1" t="s">
        <v>86</v>
      </c>
      <c r="L397" s="1"/>
      <c r="M397" s="1"/>
      <c r="N397" s="1"/>
      <c r="O397" s="1"/>
      <c r="P397" s="1"/>
      <c r="Q397" s="1"/>
      <c r="R397" s="1"/>
      <c r="S397" s="1"/>
    </row>
    <row r="398" spans="1:19" ht="23" customHeight="1">
      <c r="A398" s="1" t="s">
        <v>455</v>
      </c>
      <c r="B398" s="4">
        <v>46072</v>
      </c>
      <c r="C398" s="1" t="s">
        <v>18</v>
      </c>
      <c r="D398" s="1" t="s">
        <v>59</v>
      </c>
      <c r="E398" s="5">
        <v>40000</v>
      </c>
      <c r="F398" s="1">
        <v>0</v>
      </c>
      <c r="G398" s="4">
        <v>46072</v>
      </c>
      <c r="H398" s="4">
        <v>46078</v>
      </c>
      <c r="I398" s="4">
        <v>46080</v>
      </c>
      <c r="J398" s="4"/>
      <c r="K398" s="1" t="s">
        <v>63</v>
      </c>
      <c r="L398" s="1"/>
      <c r="M398" s="1"/>
      <c r="N398" s="1"/>
      <c r="O398" s="1"/>
      <c r="P398" s="1"/>
      <c r="Q398" s="1"/>
      <c r="R398" s="1"/>
      <c r="S398" s="1"/>
    </row>
    <row r="399" spans="1:19" ht="23" customHeight="1">
      <c r="A399" s="1" t="s">
        <v>456</v>
      </c>
      <c r="B399" s="4">
        <v>46108</v>
      </c>
      <c r="C399" s="1" t="s">
        <v>18</v>
      </c>
      <c r="D399" s="1" t="s">
        <v>71</v>
      </c>
      <c r="E399" s="5">
        <v>36000</v>
      </c>
      <c r="F399" s="1">
        <v>1</v>
      </c>
      <c r="G399" s="4"/>
      <c r="H399" s="4"/>
      <c r="I399" s="4"/>
      <c r="J399" s="4"/>
      <c r="K399" s="1" t="s">
        <v>69</v>
      </c>
      <c r="L399" s="1"/>
      <c r="M399" s="1"/>
      <c r="N399" s="1"/>
      <c r="O399" s="1"/>
      <c r="P399" s="1"/>
      <c r="Q399" s="1"/>
      <c r="R399" s="1"/>
      <c r="S399" s="1"/>
    </row>
    <row r="400" spans="1:19" ht="23" customHeight="1">
      <c r="A400" s="1" t="s">
        <v>457</v>
      </c>
      <c r="B400" s="4">
        <v>46041</v>
      </c>
      <c r="C400" s="1" t="s">
        <v>18</v>
      </c>
      <c r="D400" s="1" t="s">
        <v>62</v>
      </c>
      <c r="E400" s="5">
        <v>27000</v>
      </c>
      <c r="F400" s="1">
        <v>1</v>
      </c>
      <c r="G400" s="4"/>
      <c r="H400" s="4"/>
      <c r="I400" s="4"/>
      <c r="J400" s="4">
        <v>46044</v>
      </c>
      <c r="K400" s="1" t="s">
        <v>86</v>
      </c>
      <c r="L400" s="1"/>
      <c r="M400" s="1"/>
      <c r="N400" s="1"/>
      <c r="O400" s="1"/>
      <c r="P400" s="1"/>
      <c r="Q400" s="1"/>
      <c r="R400" s="1"/>
      <c r="S400" s="1"/>
    </row>
    <row r="401" spans="1:19" ht="23" customHeight="1">
      <c r="A401" s="1" t="s">
        <v>458</v>
      </c>
      <c r="B401" s="4">
        <v>46042</v>
      </c>
      <c r="C401" s="1" t="s">
        <v>19</v>
      </c>
      <c r="D401" s="1" t="s">
        <v>54</v>
      </c>
      <c r="E401" s="5">
        <v>29000</v>
      </c>
      <c r="F401" s="1">
        <v>0</v>
      </c>
      <c r="G401" s="4">
        <v>46042</v>
      </c>
      <c r="H401" s="4">
        <v>46048</v>
      </c>
      <c r="I401" s="4">
        <v>46051</v>
      </c>
      <c r="J401" s="4"/>
      <c r="K401" s="1" t="s">
        <v>55</v>
      </c>
      <c r="L401" s="1"/>
      <c r="M401" s="1"/>
      <c r="N401" s="1"/>
      <c r="O401" s="1"/>
      <c r="P401" s="1"/>
      <c r="Q401" s="1"/>
      <c r="R401" s="1"/>
      <c r="S401" s="1"/>
    </row>
    <row r="402" spans="1:19" ht="23" customHeight="1">
      <c r="A402" s="1" t="s">
        <v>459</v>
      </c>
      <c r="B402" s="4">
        <v>46100</v>
      </c>
      <c r="C402" s="1" t="s">
        <v>19</v>
      </c>
      <c r="D402" s="1" t="s">
        <v>54</v>
      </c>
      <c r="E402" s="5">
        <v>19000</v>
      </c>
      <c r="F402" s="1">
        <v>0</v>
      </c>
      <c r="G402" s="4">
        <v>46100</v>
      </c>
      <c r="H402" s="4">
        <v>46103</v>
      </c>
      <c r="I402" s="4">
        <v>46105</v>
      </c>
      <c r="J402" s="4"/>
      <c r="K402" s="1" t="s">
        <v>55</v>
      </c>
      <c r="L402" s="1"/>
      <c r="M402" s="1"/>
      <c r="N402" s="1"/>
      <c r="O402" s="1"/>
      <c r="P402" s="1"/>
      <c r="Q402" s="1"/>
      <c r="R402" s="1"/>
      <c r="S402" s="1"/>
    </row>
    <row r="403" spans="1:19" ht="23" customHeight="1">
      <c r="A403" s="1" t="s">
        <v>460</v>
      </c>
      <c r="B403" s="4">
        <v>46087</v>
      </c>
      <c r="C403" s="1" t="s">
        <v>18</v>
      </c>
      <c r="D403" s="1" t="s">
        <v>71</v>
      </c>
      <c r="E403" s="5">
        <v>46000</v>
      </c>
      <c r="F403" s="1">
        <v>0</v>
      </c>
      <c r="G403" s="4">
        <v>46088</v>
      </c>
      <c r="H403" s="4">
        <v>46093</v>
      </c>
      <c r="I403" s="4">
        <v>46095</v>
      </c>
      <c r="J403" s="4"/>
      <c r="K403" s="1" t="s">
        <v>55</v>
      </c>
      <c r="L403" s="1"/>
      <c r="M403" s="1"/>
      <c r="N403" s="1"/>
      <c r="O403" s="1"/>
      <c r="P403" s="1"/>
      <c r="Q403" s="1"/>
      <c r="R403" s="1"/>
      <c r="S403" s="1"/>
    </row>
    <row r="404" spans="1:19" ht="23" customHeight="1">
      <c r="A404" s="1" t="s">
        <v>461</v>
      </c>
      <c r="B404" s="4">
        <v>46107</v>
      </c>
      <c r="C404" s="1" t="s">
        <v>18</v>
      </c>
      <c r="D404" s="1" t="s">
        <v>59</v>
      </c>
      <c r="E404" s="5">
        <v>27000</v>
      </c>
      <c r="F404" s="1">
        <v>1</v>
      </c>
      <c r="G404" s="4"/>
      <c r="H404" s="4"/>
      <c r="I404" s="4"/>
      <c r="J404" s="4"/>
      <c r="K404" s="1" t="s">
        <v>69</v>
      </c>
      <c r="L404" s="1"/>
      <c r="M404" s="1"/>
      <c r="N404" s="1"/>
      <c r="O404" s="1"/>
      <c r="P404" s="1"/>
      <c r="Q404" s="1"/>
      <c r="R404" s="1"/>
      <c r="S404" s="1"/>
    </row>
    <row r="405" spans="1:19" ht="23" customHeight="1">
      <c r="A405" s="1" t="s">
        <v>462</v>
      </c>
      <c r="B405" s="4">
        <v>46078</v>
      </c>
      <c r="C405" s="1" t="s">
        <v>18</v>
      </c>
      <c r="D405" s="1" t="s">
        <v>62</v>
      </c>
      <c r="E405" s="5">
        <v>21000</v>
      </c>
      <c r="F405" s="1">
        <v>1</v>
      </c>
      <c r="G405" s="4">
        <v>46087</v>
      </c>
      <c r="H405" s="4">
        <v>46095</v>
      </c>
      <c r="I405" s="4">
        <v>46098</v>
      </c>
      <c r="J405" s="4"/>
      <c r="K405" s="1" t="s">
        <v>55</v>
      </c>
      <c r="L405" s="1"/>
      <c r="M405" s="1"/>
      <c r="N405" s="1"/>
      <c r="O405" s="1"/>
      <c r="P405" s="1"/>
      <c r="Q405" s="1"/>
      <c r="R405" s="1"/>
      <c r="S405" s="1"/>
    </row>
    <row r="406" spans="1:19" ht="23" customHeight="1">
      <c r="A406" s="1" t="s">
        <v>463</v>
      </c>
      <c r="B406" s="4">
        <v>46079</v>
      </c>
      <c r="C406" s="1" t="s">
        <v>19</v>
      </c>
      <c r="D406" s="1" t="s">
        <v>54</v>
      </c>
      <c r="E406" s="5">
        <v>14000</v>
      </c>
      <c r="F406" s="1">
        <v>0</v>
      </c>
      <c r="G406" s="4">
        <v>46081</v>
      </c>
      <c r="H406" s="4">
        <v>46086</v>
      </c>
      <c r="I406" s="4">
        <v>46087</v>
      </c>
      <c r="J406" s="4"/>
      <c r="K406" s="1" t="s">
        <v>55</v>
      </c>
      <c r="L406" s="1"/>
      <c r="M406" s="1"/>
      <c r="N406" s="1"/>
      <c r="O406" s="1"/>
      <c r="P406" s="1"/>
      <c r="Q406" s="1"/>
      <c r="R406" s="1"/>
      <c r="S406" s="1"/>
    </row>
    <row r="407" spans="1:19" ht="23" customHeight="1">
      <c r="A407" s="1" t="s">
        <v>464</v>
      </c>
      <c r="B407" s="4">
        <v>46110</v>
      </c>
      <c r="C407" s="1" t="s">
        <v>19</v>
      </c>
      <c r="D407" s="1" t="s">
        <v>54</v>
      </c>
      <c r="E407" s="5">
        <v>13000</v>
      </c>
      <c r="F407" s="1">
        <v>0</v>
      </c>
      <c r="G407" s="4">
        <v>46112</v>
      </c>
      <c r="H407" s="4"/>
      <c r="I407" s="4"/>
      <c r="J407" s="4"/>
      <c r="K407" s="1" t="s">
        <v>69</v>
      </c>
      <c r="L407" s="1"/>
      <c r="M407" s="1"/>
      <c r="N407" s="1"/>
      <c r="O407" s="1"/>
      <c r="P407" s="1"/>
      <c r="Q407" s="1"/>
      <c r="R407" s="1"/>
      <c r="S407" s="1"/>
    </row>
    <row r="408" spans="1:19" ht="23" customHeight="1">
      <c r="A408" s="1" t="s">
        <v>465</v>
      </c>
      <c r="B408" s="4">
        <v>46023</v>
      </c>
      <c r="C408" s="1" t="s">
        <v>19</v>
      </c>
      <c r="D408" s="1" t="s">
        <v>54</v>
      </c>
      <c r="E408" s="5">
        <v>25000</v>
      </c>
      <c r="F408" s="1">
        <v>0</v>
      </c>
      <c r="G408" s="4">
        <v>46024</v>
      </c>
      <c r="H408" s="4">
        <v>46026</v>
      </c>
      <c r="I408" s="4">
        <v>46029</v>
      </c>
      <c r="J408" s="4"/>
      <c r="K408" s="1" t="s">
        <v>55</v>
      </c>
      <c r="L408" s="1"/>
      <c r="M408" s="1"/>
      <c r="N408" s="1"/>
      <c r="O408" s="1"/>
      <c r="P408" s="1"/>
      <c r="Q408" s="1"/>
      <c r="R408" s="1"/>
      <c r="S408" s="1"/>
    </row>
    <row r="409" spans="1:19" ht="23" customHeight="1">
      <c r="A409" s="1" t="s">
        <v>466</v>
      </c>
      <c r="B409" s="4">
        <v>46097</v>
      </c>
      <c r="C409" s="1" t="s">
        <v>18</v>
      </c>
      <c r="D409" s="1" t="s">
        <v>62</v>
      </c>
      <c r="E409" s="5">
        <v>40000</v>
      </c>
      <c r="F409" s="1">
        <v>0</v>
      </c>
      <c r="G409" s="4">
        <v>46099</v>
      </c>
      <c r="H409" s="4">
        <v>46106</v>
      </c>
      <c r="I409" s="4">
        <v>46109</v>
      </c>
      <c r="J409" s="4"/>
      <c r="K409" s="1" t="s">
        <v>55</v>
      </c>
      <c r="L409" s="1"/>
      <c r="M409" s="1"/>
      <c r="N409" s="1"/>
      <c r="O409" s="1"/>
      <c r="P409" s="1"/>
      <c r="Q409" s="1"/>
      <c r="R409" s="1"/>
      <c r="S409" s="1"/>
    </row>
    <row r="410" spans="1:19" ht="23" customHeight="1">
      <c r="A410" s="1" t="s">
        <v>467</v>
      </c>
      <c r="B410" s="4">
        <v>46104</v>
      </c>
      <c r="C410" s="1" t="s">
        <v>18</v>
      </c>
      <c r="D410" s="1" t="s">
        <v>62</v>
      </c>
      <c r="E410" s="5">
        <v>10000</v>
      </c>
      <c r="F410" s="1">
        <v>0</v>
      </c>
      <c r="G410" s="4">
        <v>46105</v>
      </c>
      <c r="H410" s="4">
        <v>46108</v>
      </c>
      <c r="I410" s="4">
        <v>46110</v>
      </c>
      <c r="J410" s="4"/>
      <c r="K410" s="1" t="s">
        <v>55</v>
      </c>
      <c r="L410" s="1"/>
      <c r="M410" s="1"/>
      <c r="N410" s="1"/>
      <c r="O410" s="1"/>
      <c r="P410" s="1"/>
      <c r="Q410" s="1"/>
      <c r="R410" s="1"/>
      <c r="S410" s="1"/>
    </row>
    <row r="411" spans="1:19" ht="23" customHeight="1">
      <c r="A411" s="1" t="s">
        <v>468</v>
      </c>
      <c r="B411" s="4">
        <v>46062</v>
      </c>
      <c r="C411" s="1" t="s">
        <v>19</v>
      </c>
      <c r="D411" s="1" t="s">
        <v>54</v>
      </c>
      <c r="E411" s="5">
        <v>38000</v>
      </c>
      <c r="F411" s="1">
        <v>0</v>
      </c>
      <c r="G411" s="4">
        <v>46063</v>
      </c>
      <c r="H411" s="4">
        <v>46066</v>
      </c>
      <c r="I411" s="4">
        <v>46068</v>
      </c>
      <c r="J411" s="4"/>
      <c r="K411" s="1" t="s">
        <v>55</v>
      </c>
      <c r="L411" s="1"/>
      <c r="M411" s="1"/>
      <c r="N411" s="1"/>
      <c r="O411" s="1"/>
      <c r="P411" s="1"/>
      <c r="Q411" s="1"/>
      <c r="R411" s="1"/>
      <c r="S411" s="1"/>
    </row>
    <row r="412" spans="1:19" ht="23" customHeight="1">
      <c r="A412" s="1" t="s">
        <v>469</v>
      </c>
      <c r="B412" s="4">
        <v>46102</v>
      </c>
      <c r="C412" s="1" t="s">
        <v>18</v>
      </c>
      <c r="D412" s="1" t="s">
        <v>65</v>
      </c>
      <c r="E412" s="5">
        <v>19000</v>
      </c>
      <c r="F412" s="1">
        <v>0</v>
      </c>
      <c r="G412" s="4">
        <v>46104</v>
      </c>
      <c r="H412" s="4">
        <v>46109</v>
      </c>
      <c r="I412" s="4">
        <v>46112</v>
      </c>
      <c r="J412" s="4"/>
      <c r="K412" s="1" t="s">
        <v>55</v>
      </c>
      <c r="L412" s="1"/>
      <c r="M412" s="1"/>
      <c r="N412" s="1"/>
      <c r="O412" s="1"/>
      <c r="P412" s="1"/>
      <c r="Q412" s="1"/>
      <c r="R412" s="1"/>
      <c r="S412" s="1"/>
    </row>
    <row r="413" spans="1:19" ht="23" customHeight="1">
      <c r="A413" s="1" t="s">
        <v>470</v>
      </c>
      <c r="B413" s="4">
        <v>46111</v>
      </c>
      <c r="C413" s="1" t="s">
        <v>18</v>
      </c>
      <c r="D413" s="1" t="s">
        <v>62</v>
      </c>
      <c r="E413" s="5">
        <v>9000</v>
      </c>
      <c r="F413" s="1">
        <v>0</v>
      </c>
      <c r="G413" s="4">
        <v>46112</v>
      </c>
      <c r="H413" s="4"/>
      <c r="I413" s="4"/>
      <c r="J413" s="4"/>
      <c r="K413" s="1" t="s">
        <v>69</v>
      </c>
      <c r="L413" s="1"/>
      <c r="M413" s="1"/>
      <c r="N413" s="1"/>
      <c r="O413" s="1"/>
      <c r="P413" s="1"/>
      <c r="Q413" s="1"/>
      <c r="R413" s="1"/>
      <c r="S413" s="1"/>
    </row>
    <row r="414" spans="1:19" ht="23" customHeight="1">
      <c r="A414" s="1" t="s">
        <v>471</v>
      </c>
      <c r="B414" s="4">
        <v>46041</v>
      </c>
      <c r="C414" s="1" t="s">
        <v>18</v>
      </c>
      <c r="D414" s="1" t="s">
        <v>65</v>
      </c>
      <c r="E414" s="5">
        <v>21000</v>
      </c>
      <c r="F414" s="1">
        <v>0</v>
      </c>
      <c r="G414" s="4">
        <v>46041</v>
      </c>
      <c r="H414" s="4">
        <v>46044</v>
      </c>
      <c r="I414" s="4">
        <v>46045</v>
      </c>
      <c r="J414" s="4"/>
      <c r="K414" s="1" t="s">
        <v>55</v>
      </c>
      <c r="L414" s="1"/>
      <c r="M414" s="1"/>
      <c r="N414" s="1"/>
      <c r="O414" s="1"/>
      <c r="P414" s="1"/>
      <c r="Q414" s="1"/>
      <c r="R414" s="1"/>
      <c r="S414" s="1"/>
    </row>
    <row r="415" spans="1:19" ht="23" customHeight="1">
      <c r="A415" s="1" t="s">
        <v>472</v>
      </c>
      <c r="B415" s="4">
        <v>46066</v>
      </c>
      <c r="C415" s="1" t="s">
        <v>19</v>
      </c>
      <c r="D415" s="1" t="s">
        <v>54</v>
      </c>
      <c r="E415" s="5">
        <v>27000</v>
      </c>
      <c r="F415" s="1">
        <v>1</v>
      </c>
      <c r="G415" s="4">
        <v>46070</v>
      </c>
      <c r="H415" s="4">
        <v>46072</v>
      </c>
      <c r="I415" s="4">
        <v>46074</v>
      </c>
      <c r="J415" s="4"/>
      <c r="K415" s="1" t="s">
        <v>55</v>
      </c>
      <c r="L415" s="1"/>
      <c r="M415" s="1"/>
      <c r="N415" s="1"/>
      <c r="O415" s="1"/>
      <c r="P415" s="1"/>
      <c r="Q415" s="1"/>
      <c r="R415" s="1"/>
      <c r="S415" s="1"/>
    </row>
    <row r="416" spans="1:19" ht="23" customHeight="1">
      <c r="A416" s="1" t="s">
        <v>473</v>
      </c>
      <c r="B416" s="4">
        <v>46060</v>
      </c>
      <c r="C416" s="1" t="s">
        <v>19</v>
      </c>
      <c r="D416" s="1" t="s">
        <v>54</v>
      </c>
      <c r="E416" s="5">
        <v>46000</v>
      </c>
      <c r="F416" s="1">
        <v>0</v>
      </c>
      <c r="G416" s="4">
        <v>46060</v>
      </c>
      <c r="H416" s="4">
        <v>46063</v>
      </c>
      <c r="I416" s="4">
        <v>46065</v>
      </c>
      <c r="J416" s="4"/>
      <c r="K416" s="1" t="s">
        <v>55</v>
      </c>
      <c r="L416" s="1"/>
      <c r="M416" s="1"/>
      <c r="N416" s="1"/>
      <c r="O416" s="1"/>
      <c r="P416" s="1"/>
      <c r="Q416" s="1"/>
      <c r="R416" s="1"/>
      <c r="S416" s="1"/>
    </row>
    <row r="417" spans="1:19" ht="23" customHeight="1">
      <c r="A417" s="1" t="s">
        <v>474</v>
      </c>
      <c r="B417" s="4">
        <v>46065</v>
      </c>
      <c r="C417" s="1" t="s">
        <v>18</v>
      </c>
      <c r="D417" s="1" t="s">
        <v>62</v>
      </c>
      <c r="E417" s="5">
        <v>16000</v>
      </c>
      <c r="F417" s="1">
        <v>1</v>
      </c>
      <c r="G417" s="4">
        <v>46072</v>
      </c>
      <c r="H417" s="4">
        <v>46075</v>
      </c>
      <c r="I417" s="4">
        <v>46076</v>
      </c>
      <c r="J417" s="4"/>
      <c r="K417" s="1" t="s">
        <v>55</v>
      </c>
      <c r="L417" s="1"/>
      <c r="M417" s="1"/>
      <c r="N417" s="1"/>
      <c r="O417" s="1"/>
      <c r="P417" s="1"/>
      <c r="Q417" s="1"/>
      <c r="R417" s="1"/>
      <c r="S417" s="1"/>
    </row>
    <row r="418" spans="1:19" ht="23" customHeight="1">
      <c r="A418" s="1" t="s">
        <v>475</v>
      </c>
      <c r="B418" s="4">
        <v>46030</v>
      </c>
      <c r="C418" s="1" t="s">
        <v>18</v>
      </c>
      <c r="D418" s="1" t="s">
        <v>65</v>
      </c>
      <c r="E418" s="5">
        <v>40000</v>
      </c>
      <c r="F418" s="1">
        <v>0</v>
      </c>
      <c r="G418" s="4">
        <v>46031</v>
      </c>
      <c r="H418" s="4">
        <v>46033</v>
      </c>
      <c r="I418" s="4">
        <v>46035</v>
      </c>
      <c r="J418" s="4"/>
      <c r="K418" s="1" t="s">
        <v>55</v>
      </c>
      <c r="L418" s="1"/>
      <c r="M418" s="1"/>
      <c r="N418" s="1"/>
      <c r="O418" s="1"/>
      <c r="P418" s="1"/>
      <c r="Q418" s="1"/>
      <c r="R418" s="1"/>
      <c r="S418" s="1"/>
    </row>
    <row r="419" spans="1:19" ht="23" customHeight="1">
      <c r="A419" s="1" t="s">
        <v>476</v>
      </c>
      <c r="B419" s="4">
        <v>46059</v>
      </c>
      <c r="C419" s="1" t="s">
        <v>19</v>
      </c>
      <c r="D419" s="1" t="s">
        <v>54</v>
      </c>
      <c r="E419" s="5">
        <v>32000</v>
      </c>
      <c r="F419" s="1">
        <v>0</v>
      </c>
      <c r="G419" s="4">
        <v>46061</v>
      </c>
      <c r="H419" s="4">
        <v>46064</v>
      </c>
      <c r="I419" s="4">
        <v>46067</v>
      </c>
      <c r="J419" s="4"/>
      <c r="K419" s="1" t="s">
        <v>55</v>
      </c>
      <c r="L419" s="1"/>
      <c r="M419" s="1"/>
      <c r="N419" s="1"/>
      <c r="O419" s="1"/>
      <c r="P419" s="1"/>
      <c r="Q419" s="1"/>
      <c r="R419" s="1"/>
      <c r="S419" s="1"/>
    </row>
    <row r="420" spans="1:19" ht="23" customHeight="1">
      <c r="A420" s="1" t="s">
        <v>477</v>
      </c>
      <c r="B420" s="4">
        <v>46060</v>
      </c>
      <c r="C420" s="1" t="s">
        <v>18</v>
      </c>
      <c r="D420" s="1" t="s">
        <v>65</v>
      </c>
      <c r="E420" s="5">
        <v>13000</v>
      </c>
      <c r="F420" s="1">
        <v>1</v>
      </c>
      <c r="G420" s="4">
        <v>46066</v>
      </c>
      <c r="H420" s="4">
        <v>46071</v>
      </c>
      <c r="I420" s="4">
        <v>46073</v>
      </c>
      <c r="J420" s="4"/>
      <c r="K420" s="1" t="s">
        <v>55</v>
      </c>
      <c r="L420" s="1"/>
      <c r="M420" s="1"/>
      <c r="N420" s="1"/>
      <c r="O420" s="1"/>
      <c r="P420" s="1"/>
      <c r="Q420" s="1"/>
      <c r="R420" s="1"/>
      <c r="S420" s="1"/>
    </row>
    <row r="421" spans="1:19" ht="23" customHeight="1">
      <c r="A421" s="1" t="s">
        <v>478</v>
      </c>
      <c r="B421" s="4">
        <v>46047</v>
      </c>
      <c r="C421" s="1" t="s">
        <v>18</v>
      </c>
      <c r="D421" s="1" t="s">
        <v>65</v>
      </c>
      <c r="E421" s="5">
        <v>10000</v>
      </c>
      <c r="F421" s="1">
        <v>1</v>
      </c>
      <c r="G421" s="4">
        <v>46056</v>
      </c>
      <c r="H421" s="4">
        <v>46062</v>
      </c>
      <c r="I421" s="4">
        <v>46065</v>
      </c>
      <c r="J421" s="4"/>
      <c r="K421" s="1" t="s">
        <v>55</v>
      </c>
      <c r="L421" s="1"/>
      <c r="M421" s="1"/>
      <c r="N421" s="1"/>
      <c r="O421" s="1"/>
      <c r="P421" s="1"/>
      <c r="Q421" s="1"/>
      <c r="R421" s="1"/>
      <c r="S421" s="1"/>
    </row>
    <row r="422" spans="1:19" ht="23" customHeight="1">
      <c r="A422" s="1" t="s">
        <v>479</v>
      </c>
      <c r="B422" s="4">
        <v>46101</v>
      </c>
      <c r="C422" s="1" t="s">
        <v>18</v>
      </c>
      <c r="D422" s="1" t="s">
        <v>65</v>
      </c>
      <c r="E422" s="5">
        <v>10000</v>
      </c>
      <c r="F422" s="1">
        <v>1</v>
      </c>
      <c r="G422" s="4">
        <v>46108</v>
      </c>
      <c r="H422" s="4">
        <v>46112</v>
      </c>
      <c r="I422" s="4"/>
      <c r="J422" s="4"/>
      <c r="K422" s="1" t="s">
        <v>69</v>
      </c>
      <c r="L422" s="1"/>
      <c r="M422" s="1"/>
      <c r="N422" s="1"/>
      <c r="O422" s="1"/>
      <c r="P422" s="1"/>
      <c r="Q422" s="1"/>
      <c r="R422" s="1"/>
      <c r="S422" s="1"/>
    </row>
    <row r="423" spans="1:19" ht="23" customHeight="1">
      <c r="A423" s="1" t="s">
        <v>480</v>
      </c>
      <c r="B423" s="4">
        <v>46072</v>
      </c>
      <c r="C423" s="1" t="s">
        <v>19</v>
      </c>
      <c r="D423" s="1" t="s">
        <v>54</v>
      </c>
      <c r="E423" s="5">
        <v>17000</v>
      </c>
      <c r="F423" s="1">
        <v>0</v>
      </c>
      <c r="G423" s="4">
        <v>46073</v>
      </c>
      <c r="H423" s="4">
        <v>46075</v>
      </c>
      <c r="I423" s="4">
        <v>46076</v>
      </c>
      <c r="J423" s="4"/>
      <c r="K423" s="1" t="s">
        <v>55</v>
      </c>
      <c r="L423" s="1"/>
      <c r="M423" s="1"/>
      <c r="N423" s="1"/>
      <c r="O423" s="1"/>
      <c r="P423" s="1"/>
      <c r="Q423" s="1"/>
      <c r="R423" s="1"/>
      <c r="S423" s="1"/>
    </row>
    <row r="424" spans="1:19" ht="23" customHeight="1">
      <c r="A424" s="1" t="s">
        <v>481</v>
      </c>
      <c r="B424" s="4">
        <v>46109</v>
      </c>
      <c r="C424" s="1" t="s">
        <v>18</v>
      </c>
      <c r="D424" s="1" t="s">
        <v>71</v>
      </c>
      <c r="E424" s="5">
        <v>48000</v>
      </c>
      <c r="F424" s="1">
        <v>1</v>
      </c>
      <c r="G424" s="4">
        <v>46112</v>
      </c>
      <c r="H424" s="4"/>
      <c r="I424" s="4"/>
      <c r="J424" s="4"/>
      <c r="K424" s="1" t="s">
        <v>69</v>
      </c>
      <c r="L424" s="1"/>
      <c r="M424" s="1"/>
      <c r="N424" s="1"/>
      <c r="O424" s="1"/>
      <c r="P424" s="1"/>
      <c r="Q424" s="1"/>
      <c r="R424" s="1"/>
      <c r="S424" s="1"/>
    </row>
    <row r="425" spans="1:19" ht="23" customHeight="1">
      <c r="A425" s="1" t="s">
        <v>482</v>
      </c>
      <c r="B425" s="4">
        <v>46025</v>
      </c>
      <c r="C425" s="1" t="s">
        <v>19</v>
      </c>
      <c r="D425" s="1" t="s">
        <v>54</v>
      </c>
      <c r="E425" s="5">
        <v>14000</v>
      </c>
      <c r="F425" s="1">
        <v>0</v>
      </c>
      <c r="G425" s="4">
        <v>46026</v>
      </c>
      <c r="H425" s="4">
        <v>46029</v>
      </c>
      <c r="I425" s="4">
        <v>46032</v>
      </c>
      <c r="J425" s="4"/>
      <c r="K425" s="1" t="s">
        <v>55</v>
      </c>
      <c r="L425" s="1"/>
      <c r="M425" s="1"/>
      <c r="N425" s="1"/>
      <c r="O425" s="1"/>
      <c r="P425" s="1"/>
      <c r="Q425" s="1"/>
      <c r="R425" s="1"/>
      <c r="S425" s="1"/>
    </row>
    <row r="426" spans="1:19" ht="23" customHeight="1">
      <c r="A426" s="1" t="s">
        <v>483</v>
      </c>
      <c r="B426" s="4">
        <v>46068</v>
      </c>
      <c r="C426" s="1" t="s">
        <v>18</v>
      </c>
      <c r="D426" s="1" t="s">
        <v>59</v>
      </c>
      <c r="E426" s="5">
        <v>50000</v>
      </c>
      <c r="F426" s="1">
        <v>0</v>
      </c>
      <c r="G426" s="4">
        <v>46069</v>
      </c>
      <c r="H426" s="4">
        <v>46074</v>
      </c>
      <c r="I426" s="4">
        <v>46075</v>
      </c>
      <c r="J426" s="4"/>
      <c r="K426" s="1" t="s">
        <v>55</v>
      </c>
      <c r="L426" s="1"/>
      <c r="M426" s="1"/>
      <c r="N426" s="1"/>
      <c r="O426" s="1"/>
      <c r="P426" s="1"/>
      <c r="Q426" s="1"/>
      <c r="R426" s="1"/>
      <c r="S426" s="1"/>
    </row>
    <row r="427" spans="1:19" ht="23" customHeight="1">
      <c r="A427" s="1" t="s">
        <v>484</v>
      </c>
      <c r="B427" s="4">
        <v>46028</v>
      </c>
      <c r="C427" s="1" t="s">
        <v>19</v>
      </c>
      <c r="D427" s="1" t="s">
        <v>54</v>
      </c>
      <c r="E427" s="5">
        <v>37000</v>
      </c>
      <c r="F427" s="1">
        <v>0</v>
      </c>
      <c r="G427" s="4">
        <v>46029</v>
      </c>
      <c r="H427" s="4">
        <v>46033</v>
      </c>
      <c r="I427" s="4">
        <v>46035</v>
      </c>
      <c r="J427" s="4"/>
      <c r="K427" s="1" t="s">
        <v>55</v>
      </c>
      <c r="L427" s="1"/>
      <c r="M427" s="1"/>
      <c r="N427" s="1"/>
      <c r="O427" s="1"/>
      <c r="P427" s="1"/>
      <c r="Q427" s="1"/>
      <c r="R427" s="1"/>
      <c r="S427" s="1"/>
    </row>
    <row r="428" spans="1:19" ht="23" customHeight="1">
      <c r="A428" s="1" t="s">
        <v>485</v>
      </c>
      <c r="B428" s="4">
        <v>46048</v>
      </c>
      <c r="C428" s="1" t="s">
        <v>19</v>
      </c>
      <c r="D428" s="1" t="s">
        <v>54</v>
      </c>
      <c r="E428" s="5">
        <v>10000</v>
      </c>
      <c r="F428" s="1">
        <v>0</v>
      </c>
      <c r="G428" s="4">
        <v>46048</v>
      </c>
      <c r="H428" s="4">
        <v>46051</v>
      </c>
      <c r="I428" s="4">
        <v>46052</v>
      </c>
      <c r="J428" s="4"/>
      <c r="K428" s="1" t="s">
        <v>55</v>
      </c>
      <c r="L428" s="1"/>
      <c r="M428" s="1"/>
      <c r="N428" s="1"/>
      <c r="O428" s="1"/>
      <c r="P428" s="1"/>
      <c r="Q428" s="1"/>
      <c r="R428" s="1"/>
      <c r="S428" s="1"/>
    </row>
    <row r="429" spans="1:19" ht="23" customHeight="1">
      <c r="A429" s="1" t="s">
        <v>486</v>
      </c>
      <c r="B429" s="4">
        <v>46081</v>
      </c>
      <c r="C429" s="1" t="s">
        <v>19</v>
      </c>
      <c r="D429" s="1" t="s">
        <v>54</v>
      </c>
      <c r="E429" s="5">
        <v>32000</v>
      </c>
      <c r="F429" s="1">
        <v>0</v>
      </c>
      <c r="G429" s="4">
        <v>46082</v>
      </c>
      <c r="H429" s="4">
        <v>46085</v>
      </c>
      <c r="I429" s="4">
        <v>46087</v>
      </c>
      <c r="J429" s="4"/>
      <c r="K429" s="1" t="s">
        <v>55</v>
      </c>
      <c r="L429" s="1"/>
      <c r="M429" s="1"/>
      <c r="N429" s="1"/>
      <c r="O429" s="1"/>
      <c r="P429" s="1"/>
      <c r="Q429" s="1"/>
      <c r="R429" s="1"/>
      <c r="S429" s="1"/>
    </row>
    <row r="430" spans="1:19" ht="23" customHeight="1">
      <c r="A430" s="1" t="s">
        <v>487</v>
      </c>
      <c r="B430" s="4">
        <v>46047</v>
      </c>
      <c r="C430" s="1" t="s">
        <v>18</v>
      </c>
      <c r="D430" s="1" t="s">
        <v>65</v>
      </c>
      <c r="E430" s="5">
        <v>47000</v>
      </c>
      <c r="F430" s="1">
        <v>1</v>
      </c>
      <c r="G430" s="4">
        <v>46051</v>
      </c>
      <c r="H430" s="4">
        <v>46056</v>
      </c>
      <c r="I430" s="4">
        <v>46057</v>
      </c>
      <c r="J430" s="4"/>
      <c r="K430" s="1" t="s">
        <v>55</v>
      </c>
      <c r="L430" s="1"/>
      <c r="M430" s="1"/>
      <c r="N430" s="1"/>
      <c r="O430" s="1"/>
      <c r="P430" s="1"/>
      <c r="Q430" s="1"/>
      <c r="R430" s="1"/>
      <c r="S430" s="1"/>
    </row>
    <row r="431" spans="1:19" ht="23" customHeight="1">
      <c r="A431" s="1" t="s">
        <v>488</v>
      </c>
      <c r="B431" s="4">
        <v>46060</v>
      </c>
      <c r="C431" s="1" t="s">
        <v>18</v>
      </c>
      <c r="D431" s="1" t="s">
        <v>62</v>
      </c>
      <c r="E431" s="5">
        <v>26000</v>
      </c>
      <c r="F431" s="1">
        <v>0</v>
      </c>
      <c r="G431" s="4">
        <v>46061</v>
      </c>
      <c r="H431" s="4">
        <v>46068</v>
      </c>
      <c r="I431" s="4">
        <v>46069</v>
      </c>
      <c r="J431" s="4"/>
      <c r="K431" s="1" t="s">
        <v>55</v>
      </c>
      <c r="L431" s="1"/>
      <c r="M431" s="1"/>
      <c r="N431" s="1"/>
      <c r="O431" s="1"/>
      <c r="P431" s="1"/>
      <c r="Q431" s="1"/>
      <c r="R431" s="1"/>
      <c r="S431" s="1"/>
    </row>
    <row r="432" spans="1:19" ht="23" customHeight="1">
      <c r="A432" s="1" t="s">
        <v>489</v>
      </c>
      <c r="B432" s="4">
        <v>46033</v>
      </c>
      <c r="C432" s="1" t="s">
        <v>19</v>
      </c>
      <c r="D432" s="1" t="s">
        <v>54</v>
      </c>
      <c r="E432" s="5">
        <v>39000</v>
      </c>
      <c r="F432" s="1">
        <v>0</v>
      </c>
      <c r="G432" s="4">
        <v>46035</v>
      </c>
      <c r="H432" s="4">
        <v>46038</v>
      </c>
      <c r="I432" s="4">
        <v>46041</v>
      </c>
      <c r="J432" s="4"/>
      <c r="K432" s="1" t="s">
        <v>55</v>
      </c>
      <c r="L432" s="1"/>
      <c r="M432" s="1"/>
      <c r="N432" s="1"/>
      <c r="O432" s="1"/>
      <c r="P432" s="1"/>
      <c r="Q432" s="1"/>
      <c r="R432" s="1"/>
      <c r="S432" s="1"/>
    </row>
    <row r="433" spans="1:19" ht="23" customHeight="1">
      <c r="A433" s="1" t="s">
        <v>490</v>
      </c>
      <c r="B433" s="4">
        <v>46100</v>
      </c>
      <c r="C433" s="1" t="s">
        <v>19</v>
      </c>
      <c r="D433" s="1" t="s">
        <v>54</v>
      </c>
      <c r="E433" s="5">
        <v>48000</v>
      </c>
      <c r="F433" s="1">
        <v>1</v>
      </c>
      <c r="G433" s="4">
        <v>46104</v>
      </c>
      <c r="H433" s="4">
        <v>46106</v>
      </c>
      <c r="I433" s="4">
        <v>46109</v>
      </c>
      <c r="J433" s="4"/>
      <c r="K433" s="1" t="s">
        <v>55</v>
      </c>
      <c r="L433" s="1"/>
      <c r="M433" s="1"/>
      <c r="N433" s="1"/>
      <c r="O433" s="1"/>
      <c r="P433" s="1"/>
      <c r="Q433" s="1"/>
      <c r="R433" s="1"/>
      <c r="S433" s="1"/>
    </row>
    <row r="434" spans="1:19" ht="23" customHeight="1">
      <c r="A434" s="1" t="s">
        <v>491</v>
      </c>
      <c r="B434" s="4">
        <v>46034</v>
      </c>
      <c r="C434" s="1" t="s">
        <v>19</v>
      </c>
      <c r="D434" s="1" t="s">
        <v>54</v>
      </c>
      <c r="E434" s="5">
        <v>43000</v>
      </c>
      <c r="F434" s="1">
        <v>0</v>
      </c>
      <c r="G434" s="4">
        <v>46035</v>
      </c>
      <c r="H434" s="4">
        <v>46037</v>
      </c>
      <c r="I434" s="4">
        <v>46038</v>
      </c>
      <c r="J434" s="4"/>
      <c r="K434" s="1" t="s">
        <v>55</v>
      </c>
      <c r="L434" s="1"/>
      <c r="M434" s="1"/>
      <c r="N434" s="1"/>
      <c r="O434" s="1"/>
      <c r="P434" s="1"/>
      <c r="Q434" s="1"/>
      <c r="R434" s="1"/>
      <c r="S434" s="1"/>
    </row>
    <row r="435" spans="1:19" ht="23" customHeight="1">
      <c r="A435" s="1" t="s">
        <v>492</v>
      </c>
      <c r="B435" s="4">
        <v>46034</v>
      </c>
      <c r="C435" s="1" t="s">
        <v>19</v>
      </c>
      <c r="D435" s="1" t="s">
        <v>54</v>
      </c>
      <c r="E435" s="5">
        <v>46000</v>
      </c>
      <c r="F435" s="1">
        <v>1</v>
      </c>
      <c r="G435" s="4">
        <v>46041</v>
      </c>
      <c r="H435" s="4">
        <v>46047</v>
      </c>
      <c r="I435" s="4">
        <v>46049</v>
      </c>
      <c r="J435" s="4"/>
      <c r="K435" s="1" t="s">
        <v>55</v>
      </c>
      <c r="L435" s="1"/>
      <c r="M435" s="1"/>
      <c r="N435" s="1"/>
      <c r="O435" s="1"/>
      <c r="P435" s="1"/>
      <c r="Q435" s="1"/>
      <c r="R435" s="1"/>
      <c r="S435" s="1"/>
    </row>
    <row r="436" spans="1:19" ht="23" customHeight="1">
      <c r="A436" s="1" t="s">
        <v>493</v>
      </c>
      <c r="B436" s="4">
        <v>46037</v>
      </c>
      <c r="C436" s="1" t="s">
        <v>18</v>
      </c>
      <c r="D436" s="1" t="s">
        <v>65</v>
      </c>
      <c r="E436" s="5">
        <v>36000</v>
      </c>
      <c r="F436" s="1">
        <v>0</v>
      </c>
      <c r="G436" s="4">
        <v>46037</v>
      </c>
      <c r="H436" s="4">
        <v>46039</v>
      </c>
      <c r="I436" s="4">
        <v>46042</v>
      </c>
      <c r="J436" s="4"/>
      <c r="K436" s="1" t="s">
        <v>63</v>
      </c>
      <c r="L436" s="1"/>
      <c r="M436" s="1"/>
      <c r="N436" s="1"/>
      <c r="O436" s="1"/>
      <c r="P436" s="1"/>
      <c r="Q436" s="1"/>
      <c r="R436" s="1"/>
      <c r="S436" s="1"/>
    </row>
    <row r="437" spans="1:19" ht="23" customHeight="1">
      <c r="A437" s="1" t="s">
        <v>494</v>
      </c>
      <c r="B437" s="4">
        <v>46046</v>
      </c>
      <c r="C437" s="1" t="s">
        <v>18</v>
      </c>
      <c r="D437" s="1" t="s">
        <v>62</v>
      </c>
      <c r="E437" s="5">
        <v>44000</v>
      </c>
      <c r="F437" s="1">
        <v>0</v>
      </c>
      <c r="G437" s="4">
        <v>46047</v>
      </c>
      <c r="H437" s="4">
        <v>46054</v>
      </c>
      <c r="I437" s="4">
        <v>46057</v>
      </c>
      <c r="J437" s="4"/>
      <c r="K437" s="1" t="s">
        <v>55</v>
      </c>
      <c r="L437" s="1"/>
      <c r="M437" s="1"/>
      <c r="N437" s="1"/>
      <c r="O437" s="1"/>
      <c r="P437" s="1"/>
      <c r="Q437" s="1"/>
      <c r="R437" s="1"/>
      <c r="S437" s="1"/>
    </row>
    <row r="438" spans="1:19" ht="23" customHeight="1">
      <c r="A438" s="1" t="s">
        <v>495</v>
      </c>
      <c r="B438" s="4">
        <v>46112</v>
      </c>
      <c r="C438" s="1" t="s">
        <v>18</v>
      </c>
      <c r="D438" s="1" t="s">
        <v>62</v>
      </c>
      <c r="E438" s="5">
        <v>38000</v>
      </c>
      <c r="F438" s="1">
        <v>0</v>
      </c>
      <c r="G438" s="4">
        <v>46112</v>
      </c>
      <c r="H438" s="4"/>
      <c r="I438" s="4"/>
      <c r="J438" s="4"/>
      <c r="K438" s="1" t="s">
        <v>69</v>
      </c>
      <c r="L438" s="1"/>
      <c r="M438" s="1"/>
      <c r="N438" s="1"/>
      <c r="O438" s="1"/>
      <c r="P438" s="1"/>
      <c r="Q438" s="1"/>
      <c r="R438" s="1"/>
      <c r="S438" s="1"/>
    </row>
    <row r="439" spans="1:19" ht="23" customHeight="1">
      <c r="A439" s="1" t="s">
        <v>496</v>
      </c>
      <c r="B439" s="4">
        <v>46105</v>
      </c>
      <c r="C439" s="1" t="s">
        <v>19</v>
      </c>
      <c r="D439" s="1" t="s">
        <v>54</v>
      </c>
      <c r="E439" s="5">
        <v>48000</v>
      </c>
      <c r="F439" s="1">
        <v>1</v>
      </c>
      <c r="G439" s="4"/>
      <c r="H439" s="4"/>
      <c r="I439" s="4"/>
      <c r="J439" s="4"/>
      <c r="K439" s="1" t="s">
        <v>69</v>
      </c>
      <c r="L439" s="1"/>
      <c r="M439" s="1"/>
      <c r="N439" s="1"/>
      <c r="O439" s="1"/>
      <c r="P439" s="1"/>
      <c r="Q439" s="1"/>
      <c r="R439" s="1"/>
      <c r="S439" s="1"/>
    </row>
    <row r="440" spans="1:19" ht="23" customHeight="1">
      <c r="A440" s="1" t="s">
        <v>497</v>
      </c>
      <c r="B440" s="4">
        <v>46098</v>
      </c>
      <c r="C440" s="1" t="s">
        <v>18</v>
      </c>
      <c r="D440" s="1" t="s">
        <v>71</v>
      </c>
      <c r="E440" s="5">
        <v>48000</v>
      </c>
      <c r="F440" s="1">
        <v>0</v>
      </c>
      <c r="G440" s="4">
        <v>46099</v>
      </c>
      <c r="H440" s="4">
        <v>46100</v>
      </c>
      <c r="I440" s="4">
        <v>46103</v>
      </c>
      <c r="J440" s="4"/>
      <c r="K440" s="1" t="s">
        <v>55</v>
      </c>
      <c r="L440" s="1"/>
      <c r="M440" s="1"/>
      <c r="N440" s="1"/>
      <c r="O440" s="1"/>
      <c r="P440" s="1"/>
      <c r="Q440" s="1"/>
      <c r="R440" s="1"/>
      <c r="S440" s="1"/>
    </row>
    <row r="441" spans="1:19" ht="23" customHeight="1">
      <c r="A441" s="1" t="s">
        <v>498</v>
      </c>
      <c r="B441" s="4">
        <v>46101</v>
      </c>
      <c r="C441" s="1" t="s">
        <v>18</v>
      </c>
      <c r="D441" s="1" t="s">
        <v>62</v>
      </c>
      <c r="E441" s="5">
        <v>26000</v>
      </c>
      <c r="F441" s="1">
        <v>0</v>
      </c>
      <c r="G441" s="4">
        <v>46103</v>
      </c>
      <c r="H441" s="4">
        <v>46111</v>
      </c>
      <c r="I441" s="4">
        <v>46112</v>
      </c>
      <c r="J441" s="4"/>
      <c r="K441" s="1" t="s">
        <v>55</v>
      </c>
      <c r="L441" s="1"/>
      <c r="M441" s="1"/>
      <c r="N441" s="1"/>
      <c r="O441" s="1"/>
      <c r="P441" s="1"/>
      <c r="Q441" s="1"/>
      <c r="R441" s="1"/>
      <c r="S441" s="1"/>
    </row>
    <row r="442" spans="1:19" ht="23" customHeight="1">
      <c r="A442" s="1" t="s">
        <v>499</v>
      </c>
      <c r="B442" s="4">
        <v>46039</v>
      </c>
      <c r="C442" s="1" t="s">
        <v>18</v>
      </c>
      <c r="D442" s="1" t="s">
        <v>65</v>
      </c>
      <c r="E442" s="5">
        <v>44000</v>
      </c>
      <c r="F442" s="1">
        <v>0</v>
      </c>
      <c r="G442" s="4">
        <v>46039</v>
      </c>
      <c r="H442" s="4">
        <v>46041</v>
      </c>
      <c r="I442" s="4">
        <v>46043</v>
      </c>
      <c r="J442" s="4"/>
      <c r="K442" s="1" t="s">
        <v>63</v>
      </c>
      <c r="L442" s="1"/>
      <c r="M442" s="1"/>
      <c r="N442" s="1"/>
      <c r="O442" s="1"/>
      <c r="P442" s="1"/>
      <c r="Q442" s="1"/>
      <c r="R442" s="1"/>
      <c r="S442" s="1"/>
    </row>
    <row r="443" spans="1:19" ht="23" customHeight="1">
      <c r="A443" s="1" t="s">
        <v>500</v>
      </c>
      <c r="B443" s="4">
        <v>46042</v>
      </c>
      <c r="C443" s="1" t="s">
        <v>18</v>
      </c>
      <c r="D443" s="1" t="s">
        <v>71</v>
      </c>
      <c r="E443" s="5">
        <v>48000</v>
      </c>
      <c r="F443" s="1">
        <v>1</v>
      </c>
      <c r="G443" s="4"/>
      <c r="H443" s="4"/>
      <c r="I443" s="4"/>
      <c r="J443" s="4">
        <v>46046</v>
      </c>
      <c r="K443" s="1" t="s">
        <v>86</v>
      </c>
      <c r="L443" s="1"/>
      <c r="M443" s="1"/>
      <c r="N443" s="1"/>
      <c r="O443" s="1"/>
      <c r="P443" s="1"/>
      <c r="Q443" s="1"/>
      <c r="R443" s="1"/>
      <c r="S443" s="1"/>
    </row>
    <row r="444" spans="1:19" ht="23" customHeight="1">
      <c r="A444" s="1" t="s">
        <v>501</v>
      </c>
      <c r="B444" s="4">
        <v>46105</v>
      </c>
      <c r="C444" s="1" t="s">
        <v>19</v>
      </c>
      <c r="D444" s="1" t="s">
        <v>54</v>
      </c>
      <c r="E444" s="5">
        <v>22000</v>
      </c>
      <c r="F444" s="1">
        <v>0</v>
      </c>
      <c r="G444" s="4">
        <v>46106</v>
      </c>
      <c r="H444" s="4">
        <v>46109</v>
      </c>
      <c r="I444" s="4">
        <v>46110</v>
      </c>
      <c r="J444" s="4"/>
      <c r="K444" s="1" t="s">
        <v>55</v>
      </c>
      <c r="L444" s="1"/>
      <c r="M444" s="1"/>
      <c r="N444" s="1"/>
      <c r="O444" s="1"/>
      <c r="P444" s="1"/>
      <c r="Q444" s="1"/>
      <c r="R444" s="1"/>
      <c r="S444" s="1"/>
    </row>
    <row r="445" spans="1:19" ht="23" customHeight="1">
      <c r="A445" s="1" t="s">
        <v>502</v>
      </c>
      <c r="B445" s="4">
        <v>46080</v>
      </c>
      <c r="C445" s="1" t="s">
        <v>18</v>
      </c>
      <c r="D445" s="1" t="s">
        <v>71</v>
      </c>
      <c r="E445" s="5">
        <v>16000</v>
      </c>
      <c r="F445" s="1">
        <v>0</v>
      </c>
      <c r="G445" s="4">
        <v>46080</v>
      </c>
      <c r="H445" s="4">
        <v>46084</v>
      </c>
      <c r="I445" s="4">
        <v>46087</v>
      </c>
      <c r="J445" s="4"/>
      <c r="K445" s="1" t="s">
        <v>63</v>
      </c>
      <c r="L445" s="1"/>
      <c r="M445" s="1"/>
      <c r="N445" s="1"/>
      <c r="O445" s="1"/>
      <c r="P445" s="1"/>
      <c r="Q445" s="1"/>
      <c r="R445" s="1"/>
      <c r="S445" s="1"/>
    </row>
    <row r="446" spans="1:19" ht="23" customHeight="1">
      <c r="A446" s="1" t="s">
        <v>503</v>
      </c>
      <c r="B446" s="4">
        <v>46065</v>
      </c>
      <c r="C446" s="1" t="s">
        <v>19</v>
      </c>
      <c r="D446" s="1" t="s">
        <v>54</v>
      </c>
      <c r="E446" s="5">
        <v>28000</v>
      </c>
      <c r="F446" s="1">
        <v>0</v>
      </c>
      <c r="G446" s="4">
        <v>46067</v>
      </c>
      <c r="H446" s="4">
        <v>46072</v>
      </c>
      <c r="I446" s="4">
        <v>46074</v>
      </c>
      <c r="J446" s="4"/>
      <c r="K446" s="1" t="s">
        <v>55</v>
      </c>
      <c r="L446" s="1"/>
      <c r="M446" s="1"/>
      <c r="N446" s="1"/>
      <c r="O446" s="1"/>
      <c r="P446" s="1"/>
      <c r="Q446" s="1"/>
      <c r="R446" s="1"/>
      <c r="S446" s="1"/>
    </row>
    <row r="447" spans="1:19" ht="23" customHeight="1">
      <c r="A447" s="1" t="s">
        <v>504</v>
      </c>
      <c r="B447" s="4">
        <v>46032</v>
      </c>
      <c r="C447" s="1" t="s">
        <v>18</v>
      </c>
      <c r="D447" s="1" t="s">
        <v>59</v>
      </c>
      <c r="E447" s="5">
        <v>41000</v>
      </c>
      <c r="F447" s="1">
        <v>1</v>
      </c>
      <c r="G447" s="4">
        <v>46040</v>
      </c>
      <c r="H447" s="4">
        <v>46042</v>
      </c>
      <c r="I447" s="4">
        <v>46045</v>
      </c>
      <c r="J447" s="4"/>
      <c r="K447" s="1" t="s">
        <v>63</v>
      </c>
      <c r="L447" s="1"/>
      <c r="M447" s="1"/>
      <c r="N447" s="1"/>
      <c r="O447" s="1"/>
      <c r="P447" s="1"/>
      <c r="Q447" s="1"/>
      <c r="R447" s="1"/>
      <c r="S447" s="1"/>
    </row>
    <row r="448" spans="1:19" ht="23" customHeight="1">
      <c r="A448" s="1" t="s">
        <v>505</v>
      </c>
      <c r="B448" s="4">
        <v>46050</v>
      </c>
      <c r="C448" s="1" t="s">
        <v>18</v>
      </c>
      <c r="D448" s="1" t="s">
        <v>71</v>
      </c>
      <c r="E448" s="5">
        <v>41000</v>
      </c>
      <c r="F448" s="1">
        <v>0</v>
      </c>
      <c r="G448" s="4">
        <v>46051</v>
      </c>
      <c r="H448" s="4">
        <v>46053</v>
      </c>
      <c r="I448" s="4">
        <v>46056</v>
      </c>
      <c r="J448" s="4"/>
      <c r="K448" s="1" t="s">
        <v>55</v>
      </c>
      <c r="L448" s="1"/>
      <c r="M448" s="1"/>
      <c r="N448" s="1"/>
      <c r="O448" s="1"/>
      <c r="P448" s="1"/>
      <c r="Q448" s="1"/>
      <c r="R448" s="1"/>
      <c r="S448" s="1"/>
    </row>
    <row r="449" spans="1:19" ht="23" customHeight="1">
      <c r="A449" s="1" t="s">
        <v>506</v>
      </c>
      <c r="B449" s="4">
        <v>46091</v>
      </c>
      <c r="C449" s="1" t="s">
        <v>19</v>
      </c>
      <c r="D449" s="1" t="s">
        <v>54</v>
      </c>
      <c r="E449" s="5">
        <v>10000</v>
      </c>
      <c r="F449" s="1">
        <v>1</v>
      </c>
      <c r="G449" s="4"/>
      <c r="H449" s="4"/>
      <c r="I449" s="4"/>
      <c r="J449" s="4">
        <v>46101</v>
      </c>
      <c r="K449" s="1" t="s">
        <v>86</v>
      </c>
      <c r="L449" s="1"/>
      <c r="M449" s="1"/>
      <c r="N449" s="1"/>
      <c r="O449" s="1"/>
      <c r="P449" s="1"/>
      <c r="Q449" s="1"/>
      <c r="R449" s="1"/>
      <c r="S449" s="1"/>
    </row>
    <row r="450" spans="1:19" ht="23" customHeight="1">
      <c r="A450" s="1" t="s">
        <v>507</v>
      </c>
      <c r="B450" s="4">
        <v>46050</v>
      </c>
      <c r="C450" s="1" t="s">
        <v>19</v>
      </c>
      <c r="D450" s="1" t="s">
        <v>54</v>
      </c>
      <c r="E450" s="5">
        <v>49000</v>
      </c>
      <c r="F450" s="1">
        <v>0</v>
      </c>
      <c r="G450" s="4">
        <v>46050</v>
      </c>
      <c r="H450" s="4">
        <v>46052</v>
      </c>
      <c r="I450" s="4">
        <v>46053</v>
      </c>
      <c r="J450" s="4"/>
      <c r="K450" s="1" t="s">
        <v>55</v>
      </c>
      <c r="L450" s="1"/>
      <c r="M450" s="1"/>
      <c r="N450" s="1"/>
      <c r="O450" s="1"/>
      <c r="P450" s="1"/>
      <c r="Q450" s="1"/>
      <c r="R450" s="1"/>
      <c r="S450" s="1"/>
    </row>
    <row r="451" spans="1:19" ht="23" customHeight="1">
      <c r="A451" s="1" t="s">
        <v>508</v>
      </c>
      <c r="B451" s="4">
        <v>46044</v>
      </c>
      <c r="C451" s="1" t="s">
        <v>18</v>
      </c>
      <c r="D451" s="1" t="s">
        <v>71</v>
      </c>
      <c r="E451" s="5">
        <v>15000</v>
      </c>
      <c r="F451" s="1">
        <v>0</v>
      </c>
      <c r="G451" s="4">
        <v>46044</v>
      </c>
      <c r="H451" s="4">
        <v>46045</v>
      </c>
      <c r="I451" s="4">
        <v>46048</v>
      </c>
      <c r="J451" s="4"/>
      <c r="K451" s="1" t="s">
        <v>63</v>
      </c>
      <c r="L451" s="1"/>
      <c r="M451" s="1"/>
      <c r="N451" s="1"/>
      <c r="O451" s="1"/>
      <c r="P451" s="1"/>
      <c r="Q451" s="1"/>
      <c r="R451" s="1"/>
      <c r="S451" s="1"/>
    </row>
    <row r="452" spans="1:19" ht="23" customHeight="1">
      <c r="A452" s="1" t="s">
        <v>509</v>
      </c>
      <c r="B452" s="4">
        <v>46027</v>
      </c>
      <c r="C452" s="1" t="s">
        <v>18</v>
      </c>
      <c r="D452" s="1" t="s">
        <v>65</v>
      </c>
      <c r="E452" s="5">
        <v>41000</v>
      </c>
      <c r="F452" s="1">
        <v>0</v>
      </c>
      <c r="G452" s="4">
        <v>46027</v>
      </c>
      <c r="H452" s="4">
        <v>46029</v>
      </c>
      <c r="I452" s="4">
        <v>46032</v>
      </c>
      <c r="J452" s="4"/>
      <c r="K452" s="1" t="s">
        <v>63</v>
      </c>
      <c r="L452" s="1"/>
      <c r="M452" s="1"/>
      <c r="N452" s="1"/>
      <c r="O452" s="1"/>
      <c r="P452" s="1"/>
      <c r="Q452" s="1"/>
      <c r="R452" s="1"/>
      <c r="S452" s="1"/>
    </row>
    <row r="453" spans="1:19" ht="23" customHeight="1">
      <c r="A453" s="1" t="s">
        <v>510</v>
      </c>
      <c r="B453" s="4">
        <v>46091</v>
      </c>
      <c r="C453" s="1" t="s">
        <v>19</v>
      </c>
      <c r="D453" s="1" t="s">
        <v>54</v>
      </c>
      <c r="E453" s="5">
        <v>31000</v>
      </c>
      <c r="F453" s="1">
        <v>0</v>
      </c>
      <c r="G453" s="4">
        <v>46092</v>
      </c>
      <c r="H453" s="4">
        <v>46095</v>
      </c>
      <c r="I453" s="4">
        <v>46098</v>
      </c>
      <c r="J453" s="4"/>
      <c r="K453" s="1" t="s">
        <v>55</v>
      </c>
      <c r="L453" s="1"/>
      <c r="M453" s="1"/>
      <c r="N453" s="1"/>
      <c r="O453" s="1"/>
      <c r="P453" s="1"/>
      <c r="Q453" s="1"/>
      <c r="R453" s="1"/>
      <c r="S453" s="1"/>
    </row>
    <row r="454" spans="1:19" ht="23" customHeight="1">
      <c r="A454" s="1" t="s">
        <v>511</v>
      </c>
      <c r="B454" s="4">
        <v>46039</v>
      </c>
      <c r="C454" s="1" t="s">
        <v>19</v>
      </c>
      <c r="D454" s="1" t="s">
        <v>54</v>
      </c>
      <c r="E454" s="5">
        <v>9000</v>
      </c>
      <c r="F454" s="1">
        <v>0</v>
      </c>
      <c r="G454" s="4">
        <v>46040</v>
      </c>
      <c r="H454" s="4">
        <v>46042</v>
      </c>
      <c r="I454" s="4">
        <v>46043</v>
      </c>
      <c r="J454" s="4"/>
      <c r="K454" s="1" t="s">
        <v>63</v>
      </c>
      <c r="L454" s="1"/>
      <c r="M454" s="1"/>
      <c r="N454" s="1"/>
      <c r="O454" s="1"/>
      <c r="P454" s="1"/>
      <c r="Q454" s="1"/>
      <c r="R454" s="1"/>
      <c r="S454" s="1"/>
    </row>
    <row r="455" spans="1:19" ht="23" customHeight="1">
      <c r="A455" s="1" t="s">
        <v>512</v>
      </c>
      <c r="B455" s="4">
        <v>46030</v>
      </c>
      <c r="C455" s="1" t="s">
        <v>19</v>
      </c>
      <c r="D455" s="1" t="s">
        <v>54</v>
      </c>
      <c r="E455" s="5">
        <v>21000</v>
      </c>
      <c r="F455" s="1">
        <v>0</v>
      </c>
      <c r="G455" s="4">
        <v>46032</v>
      </c>
      <c r="H455" s="4">
        <v>46038</v>
      </c>
      <c r="I455" s="4">
        <v>46040</v>
      </c>
      <c r="J455" s="4"/>
      <c r="K455" s="1" t="s">
        <v>63</v>
      </c>
      <c r="L455" s="1"/>
      <c r="M455" s="1"/>
      <c r="N455" s="1"/>
      <c r="O455" s="1"/>
      <c r="P455" s="1"/>
      <c r="Q455" s="1"/>
      <c r="R455" s="1"/>
      <c r="S455" s="1"/>
    </row>
    <row r="456" spans="1:19" ht="23" customHeight="1">
      <c r="A456" s="1" t="s">
        <v>513</v>
      </c>
      <c r="B456" s="4">
        <v>46109</v>
      </c>
      <c r="C456" s="1" t="s">
        <v>18</v>
      </c>
      <c r="D456" s="1" t="s">
        <v>65</v>
      </c>
      <c r="E456" s="5">
        <v>22000</v>
      </c>
      <c r="F456" s="1">
        <v>1</v>
      </c>
      <c r="G456" s="4"/>
      <c r="H456" s="4"/>
      <c r="I456" s="4"/>
      <c r="J456" s="4"/>
      <c r="K456" s="1" t="s">
        <v>69</v>
      </c>
      <c r="L456" s="1"/>
      <c r="M456" s="1"/>
      <c r="N456" s="1"/>
      <c r="O456" s="1"/>
      <c r="P456" s="1"/>
      <c r="Q456" s="1"/>
      <c r="R456" s="1"/>
      <c r="S456" s="1"/>
    </row>
    <row r="457" spans="1:19" ht="23" customHeight="1">
      <c r="A457" s="1" t="s">
        <v>514</v>
      </c>
      <c r="B457" s="4">
        <v>46024</v>
      </c>
      <c r="C457" s="1" t="s">
        <v>18</v>
      </c>
      <c r="D457" s="1" t="s">
        <v>65</v>
      </c>
      <c r="E457" s="5">
        <v>7000</v>
      </c>
      <c r="F457" s="1">
        <v>0</v>
      </c>
      <c r="G457" s="4">
        <v>46025</v>
      </c>
      <c r="H457" s="4">
        <v>46028</v>
      </c>
      <c r="I457" s="4">
        <v>46029</v>
      </c>
      <c r="J457" s="4"/>
      <c r="K457" s="1" t="s">
        <v>55</v>
      </c>
      <c r="L457" s="1"/>
      <c r="M457" s="1"/>
      <c r="N457" s="1"/>
      <c r="O457" s="1"/>
      <c r="P457" s="1"/>
      <c r="Q457" s="1"/>
      <c r="R457" s="1"/>
      <c r="S457" s="1"/>
    </row>
    <row r="458" spans="1:19" ht="23" customHeight="1">
      <c r="A458" s="1" t="s">
        <v>515</v>
      </c>
      <c r="B458" s="4">
        <v>46025</v>
      </c>
      <c r="C458" s="1" t="s">
        <v>18</v>
      </c>
      <c r="D458" s="1" t="s">
        <v>65</v>
      </c>
      <c r="E458" s="5">
        <v>8000</v>
      </c>
      <c r="F458" s="1">
        <v>0</v>
      </c>
      <c r="G458" s="4">
        <v>46027</v>
      </c>
      <c r="H458" s="4">
        <v>46028</v>
      </c>
      <c r="I458" s="4">
        <v>46031</v>
      </c>
      <c r="J458" s="4"/>
      <c r="K458" s="1" t="s">
        <v>55</v>
      </c>
      <c r="L458" s="1"/>
      <c r="M458" s="1"/>
      <c r="N458" s="1"/>
      <c r="O458" s="1"/>
      <c r="P458" s="1"/>
      <c r="Q458" s="1"/>
      <c r="R458" s="1"/>
      <c r="S458" s="1"/>
    </row>
    <row r="459" spans="1:19" ht="23" customHeight="1">
      <c r="A459" s="1" t="s">
        <v>516</v>
      </c>
      <c r="B459" s="4">
        <v>46042</v>
      </c>
      <c r="C459" s="1" t="s">
        <v>19</v>
      </c>
      <c r="D459" s="1" t="s">
        <v>54</v>
      </c>
      <c r="E459" s="5">
        <v>50000</v>
      </c>
      <c r="F459" s="1">
        <v>0</v>
      </c>
      <c r="G459" s="4">
        <v>46044</v>
      </c>
      <c r="H459" s="4">
        <v>46048</v>
      </c>
      <c r="I459" s="4">
        <v>46050</v>
      </c>
      <c r="J459" s="4"/>
      <c r="K459" s="1" t="s">
        <v>55</v>
      </c>
      <c r="L459" s="1"/>
      <c r="M459" s="1"/>
      <c r="N459" s="1"/>
      <c r="O459" s="1"/>
      <c r="P459" s="1"/>
      <c r="Q459" s="1"/>
      <c r="R459" s="1"/>
      <c r="S459" s="1"/>
    </row>
    <row r="460" spans="1:19" ht="23" customHeight="1">
      <c r="A460" s="1" t="s">
        <v>517</v>
      </c>
      <c r="B460" s="4">
        <v>46051</v>
      </c>
      <c r="C460" s="1" t="s">
        <v>18</v>
      </c>
      <c r="D460" s="1" t="s">
        <v>62</v>
      </c>
      <c r="E460" s="5">
        <v>18000</v>
      </c>
      <c r="F460" s="1">
        <v>1</v>
      </c>
      <c r="G460" s="4">
        <v>46057</v>
      </c>
      <c r="H460" s="4">
        <v>46060</v>
      </c>
      <c r="I460" s="4">
        <v>46061</v>
      </c>
      <c r="J460" s="4"/>
      <c r="K460" s="1" t="s">
        <v>55</v>
      </c>
      <c r="L460" s="1"/>
      <c r="M460" s="1"/>
      <c r="N460" s="1"/>
      <c r="O460" s="1"/>
      <c r="P460" s="1"/>
      <c r="Q460" s="1"/>
      <c r="R460" s="1"/>
      <c r="S460" s="1"/>
    </row>
    <row r="461" spans="1:19" ht="23" customHeight="1">
      <c r="A461" s="1" t="s">
        <v>518</v>
      </c>
      <c r="B461" s="4">
        <v>46074</v>
      </c>
      <c r="C461" s="1" t="s">
        <v>19</v>
      </c>
      <c r="D461" s="1" t="s">
        <v>54</v>
      </c>
      <c r="E461" s="5">
        <v>43000</v>
      </c>
      <c r="F461" s="1">
        <v>0</v>
      </c>
      <c r="G461" s="4">
        <v>46076</v>
      </c>
      <c r="H461" s="4">
        <v>46078</v>
      </c>
      <c r="I461" s="4">
        <v>46079</v>
      </c>
      <c r="J461" s="4"/>
      <c r="K461" s="1" t="s">
        <v>55</v>
      </c>
      <c r="L461" s="1"/>
      <c r="M461" s="1"/>
      <c r="N461" s="1"/>
      <c r="O461" s="1"/>
      <c r="P461" s="1"/>
      <c r="Q461" s="1"/>
      <c r="R461" s="1"/>
      <c r="S461" s="1"/>
    </row>
    <row r="462" spans="1:19" ht="23" customHeight="1">
      <c r="A462" s="1" t="s">
        <v>519</v>
      </c>
      <c r="B462" s="4">
        <v>46047</v>
      </c>
      <c r="C462" s="1" t="s">
        <v>18</v>
      </c>
      <c r="D462" s="1" t="s">
        <v>62</v>
      </c>
      <c r="E462" s="5">
        <v>48000</v>
      </c>
      <c r="F462" s="1">
        <v>0</v>
      </c>
      <c r="G462" s="4">
        <v>46048</v>
      </c>
      <c r="H462" s="4">
        <v>46055</v>
      </c>
      <c r="I462" s="4">
        <v>46058</v>
      </c>
      <c r="J462" s="4"/>
      <c r="K462" s="1" t="s">
        <v>55</v>
      </c>
      <c r="L462" s="1"/>
      <c r="M462" s="1"/>
      <c r="N462" s="1"/>
      <c r="O462" s="1"/>
      <c r="P462" s="1"/>
      <c r="Q462" s="1"/>
      <c r="R462" s="1"/>
      <c r="S462" s="1"/>
    </row>
    <row r="463" spans="1:19" ht="23" customHeight="1">
      <c r="A463" s="1" t="s">
        <v>520</v>
      </c>
      <c r="B463" s="4">
        <v>46094</v>
      </c>
      <c r="C463" s="1" t="s">
        <v>19</v>
      </c>
      <c r="D463" s="1" t="s">
        <v>54</v>
      </c>
      <c r="E463" s="5">
        <v>41000</v>
      </c>
      <c r="F463" s="1">
        <v>1</v>
      </c>
      <c r="G463" s="4"/>
      <c r="H463" s="4"/>
      <c r="I463" s="4"/>
      <c r="J463" s="4">
        <v>46099</v>
      </c>
      <c r="K463" s="1" t="s">
        <v>86</v>
      </c>
      <c r="L463" s="1"/>
      <c r="M463" s="1"/>
      <c r="N463" s="1"/>
      <c r="O463" s="1"/>
      <c r="P463" s="1"/>
      <c r="Q463" s="1"/>
      <c r="R463" s="1"/>
      <c r="S463" s="1"/>
    </row>
    <row r="464" spans="1:19" ht="23" customHeight="1">
      <c r="A464" s="1" t="s">
        <v>521</v>
      </c>
      <c r="B464" s="4">
        <v>46066</v>
      </c>
      <c r="C464" s="1" t="s">
        <v>18</v>
      </c>
      <c r="D464" s="1" t="s">
        <v>59</v>
      </c>
      <c r="E464" s="5">
        <v>18000</v>
      </c>
      <c r="F464" s="1">
        <v>1</v>
      </c>
      <c r="G464" s="4">
        <v>46069</v>
      </c>
      <c r="H464" s="4">
        <v>46071</v>
      </c>
      <c r="I464" s="4">
        <v>46074</v>
      </c>
      <c r="J464" s="4"/>
      <c r="K464" s="1" t="s">
        <v>55</v>
      </c>
      <c r="L464" s="1"/>
      <c r="M464" s="1"/>
      <c r="N464" s="1"/>
      <c r="O464" s="1"/>
      <c r="P464" s="1"/>
      <c r="Q464" s="1"/>
      <c r="R464" s="1"/>
      <c r="S464" s="1"/>
    </row>
    <row r="465" spans="1:19" ht="23" customHeight="1">
      <c r="A465" s="1" t="s">
        <v>522</v>
      </c>
      <c r="B465" s="4">
        <v>46052</v>
      </c>
      <c r="C465" s="1" t="s">
        <v>19</v>
      </c>
      <c r="D465" s="1" t="s">
        <v>54</v>
      </c>
      <c r="E465" s="5">
        <v>50000</v>
      </c>
      <c r="F465" s="1">
        <v>0</v>
      </c>
      <c r="G465" s="4">
        <v>46052</v>
      </c>
      <c r="H465" s="4">
        <v>46053</v>
      </c>
      <c r="I465" s="4">
        <v>46054</v>
      </c>
      <c r="J465" s="4"/>
      <c r="K465" s="1" t="s">
        <v>63</v>
      </c>
      <c r="L465" s="1"/>
      <c r="M465" s="1"/>
      <c r="N465" s="1"/>
      <c r="O465" s="1"/>
      <c r="P465" s="1"/>
      <c r="Q465" s="1"/>
      <c r="R465" s="1"/>
      <c r="S465" s="1"/>
    </row>
    <row r="466" spans="1:19" ht="23" customHeight="1">
      <c r="A466" s="1" t="s">
        <v>523</v>
      </c>
      <c r="B466" s="4">
        <v>46027</v>
      </c>
      <c r="C466" s="1" t="s">
        <v>19</v>
      </c>
      <c r="D466" s="1" t="s">
        <v>54</v>
      </c>
      <c r="E466" s="5">
        <v>42000</v>
      </c>
      <c r="F466" s="1">
        <v>0</v>
      </c>
      <c r="G466" s="4">
        <v>46027</v>
      </c>
      <c r="H466" s="4">
        <v>46033</v>
      </c>
      <c r="I466" s="4">
        <v>46034</v>
      </c>
      <c r="J466" s="4"/>
      <c r="K466" s="1" t="s">
        <v>55</v>
      </c>
      <c r="L466" s="1"/>
      <c r="M466" s="1"/>
      <c r="N466" s="1"/>
      <c r="O466" s="1"/>
      <c r="P466" s="1"/>
      <c r="Q466" s="1"/>
      <c r="R466" s="1"/>
      <c r="S466" s="1"/>
    </row>
    <row r="467" spans="1:19" ht="23" customHeight="1">
      <c r="A467" s="1" t="s">
        <v>524</v>
      </c>
      <c r="B467" s="4">
        <v>46095</v>
      </c>
      <c r="C467" s="1" t="s">
        <v>19</v>
      </c>
      <c r="D467" s="1" t="s">
        <v>54</v>
      </c>
      <c r="E467" s="5">
        <v>25000</v>
      </c>
      <c r="F467" s="1">
        <v>0</v>
      </c>
      <c r="G467" s="4">
        <v>46096</v>
      </c>
      <c r="H467" s="4">
        <v>46100</v>
      </c>
      <c r="I467" s="4">
        <v>46103</v>
      </c>
      <c r="J467" s="4"/>
      <c r="K467" s="1" t="s">
        <v>63</v>
      </c>
      <c r="L467" s="1"/>
      <c r="M467" s="1"/>
      <c r="N467" s="1"/>
      <c r="O467" s="1"/>
      <c r="P467" s="1"/>
      <c r="Q467" s="1"/>
      <c r="R467" s="1"/>
      <c r="S467" s="1"/>
    </row>
    <row r="468" spans="1:19" ht="23" customHeight="1">
      <c r="A468" s="1" t="s">
        <v>525</v>
      </c>
      <c r="B468" s="4">
        <v>46035</v>
      </c>
      <c r="C468" s="1" t="s">
        <v>19</v>
      </c>
      <c r="D468" s="1" t="s">
        <v>54</v>
      </c>
      <c r="E468" s="5">
        <v>11000</v>
      </c>
      <c r="F468" s="1">
        <v>0</v>
      </c>
      <c r="G468" s="4">
        <v>46037</v>
      </c>
      <c r="H468" s="4">
        <v>46039</v>
      </c>
      <c r="I468" s="4">
        <v>46042</v>
      </c>
      <c r="J468" s="4"/>
      <c r="K468" s="1" t="s">
        <v>55</v>
      </c>
      <c r="L468" s="1"/>
      <c r="M468" s="1"/>
      <c r="N468" s="1"/>
      <c r="O468" s="1"/>
      <c r="P468" s="1"/>
      <c r="Q468" s="1"/>
      <c r="R468" s="1"/>
      <c r="S468" s="1"/>
    </row>
    <row r="469" spans="1:19" ht="23" customHeight="1">
      <c r="A469" s="1" t="s">
        <v>526</v>
      </c>
      <c r="B469" s="4">
        <v>46060</v>
      </c>
      <c r="C469" s="1" t="s">
        <v>19</v>
      </c>
      <c r="D469" s="1" t="s">
        <v>54</v>
      </c>
      <c r="E469" s="5">
        <v>13000</v>
      </c>
      <c r="F469" s="1">
        <v>1</v>
      </c>
      <c r="G469" s="4">
        <v>46065</v>
      </c>
      <c r="H469" s="4">
        <v>46070</v>
      </c>
      <c r="I469" s="4">
        <v>46073</v>
      </c>
      <c r="J469" s="4"/>
      <c r="K469" s="1" t="s">
        <v>55</v>
      </c>
      <c r="L469" s="1"/>
      <c r="M469" s="1"/>
      <c r="N469" s="1"/>
      <c r="O469" s="1"/>
      <c r="P469" s="1"/>
      <c r="Q469" s="1"/>
      <c r="R469" s="1"/>
      <c r="S469" s="1"/>
    </row>
    <row r="470" spans="1:19" ht="23" customHeight="1">
      <c r="A470" s="1" t="s">
        <v>527</v>
      </c>
      <c r="B470" s="4">
        <v>46073</v>
      </c>
      <c r="C470" s="1" t="s">
        <v>19</v>
      </c>
      <c r="D470" s="1" t="s">
        <v>54</v>
      </c>
      <c r="E470" s="5">
        <v>16000</v>
      </c>
      <c r="F470" s="1">
        <v>1</v>
      </c>
      <c r="G470" s="4">
        <v>46080</v>
      </c>
      <c r="H470" s="4">
        <v>46084</v>
      </c>
      <c r="I470" s="4">
        <v>46087</v>
      </c>
      <c r="J470" s="4"/>
      <c r="K470" s="1" t="s">
        <v>63</v>
      </c>
      <c r="L470" s="1"/>
      <c r="M470" s="1"/>
      <c r="N470" s="1"/>
      <c r="O470" s="1"/>
      <c r="P470" s="1"/>
      <c r="Q470" s="1"/>
      <c r="R470" s="1"/>
      <c r="S470" s="1"/>
    </row>
    <row r="471" spans="1:19" ht="23" customHeight="1">
      <c r="A471" s="1" t="s">
        <v>528</v>
      </c>
      <c r="B471" s="4">
        <v>46067</v>
      </c>
      <c r="C471" s="1" t="s">
        <v>19</v>
      </c>
      <c r="D471" s="1" t="s">
        <v>54</v>
      </c>
      <c r="E471" s="5">
        <v>25000</v>
      </c>
      <c r="F471" s="1">
        <v>1</v>
      </c>
      <c r="G471" s="4">
        <v>46077</v>
      </c>
      <c r="H471" s="4">
        <v>46083</v>
      </c>
      <c r="I471" s="4">
        <v>46086</v>
      </c>
      <c r="J471" s="4"/>
      <c r="K471" s="1" t="s">
        <v>63</v>
      </c>
      <c r="L471" s="1"/>
      <c r="M471" s="1"/>
      <c r="N471" s="1"/>
      <c r="O471" s="1"/>
      <c r="P471" s="1"/>
      <c r="Q471" s="1"/>
      <c r="R471" s="1"/>
      <c r="S471" s="1"/>
    </row>
    <row r="472" spans="1:19" ht="23" customHeight="1">
      <c r="A472" s="1" t="s">
        <v>529</v>
      </c>
      <c r="B472" s="4">
        <v>46092</v>
      </c>
      <c r="C472" s="1" t="s">
        <v>18</v>
      </c>
      <c r="D472" s="1" t="s">
        <v>62</v>
      </c>
      <c r="E472" s="5">
        <v>27000</v>
      </c>
      <c r="F472" s="1">
        <v>0</v>
      </c>
      <c r="G472" s="4">
        <v>46094</v>
      </c>
      <c r="H472" s="4">
        <v>46101</v>
      </c>
      <c r="I472" s="4">
        <v>46103</v>
      </c>
      <c r="J472" s="4"/>
      <c r="K472" s="1" t="s">
        <v>55</v>
      </c>
      <c r="L472" s="1"/>
      <c r="M472" s="1"/>
      <c r="N472" s="1"/>
      <c r="O472" s="1"/>
      <c r="P472" s="1"/>
      <c r="Q472" s="1"/>
      <c r="R472" s="1"/>
      <c r="S472" s="1"/>
    </row>
    <row r="473" spans="1:19" ht="23" customHeight="1">
      <c r="A473" s="1" t="s">
        <v>530</v>
      </c>
      <c r="B473" s="4">
        <v>46057</v>
      </c>
      <c r="C473" s="1" t="s">
        <v>18</v>
      </c>
      <c r="D473" s="1" t="s">
        <v>59</v>
      </c>
      <c r="E473" s="5">
        <v>6000</v>
      </c>
      <c r="F473" s="1">
        <v>0</v>
      </c>
      <c r="G473" s="4">
        <v>46058</v>
      </c>
      <c r="H473" s="4">
        <v>46059</v>
      </c>
      <c r="I473" s="4">
        <v>46060</v>
      </c>
      <c r="J473" s="4"/>
      <c r="K473" s="1" t="s">
        <v>55</v>
      </c>
      <c r="L473" s="1"/>
      <c r="M473" s="1"/>
      <c r="N473" s="1"/>
      <c r="O473" s="1"/>
      <c r="P473" s="1"/>
      <c r="Q473" s="1"/>
      <c r="R473" s="1"/>
      <c r="S473" s="1"/>
    </row>
    <row r="474" spans="1:19" ht="23" customHeight="1">
      <c r="A474" s="1" t="s">
        <v>531</v>
      </c>
      <c r="B474" s="4">
        <v>46073</v>
      </c>
      <c r="C474" s="1" t="s">
        <v>18</v>
      </c>
      <c r="D474" s="1" t="s">
        <v>71</v>
      </c>
      <c r="E474" s="5">
        <v>34000</v>
      </c>
      <c r="F474" s="1">
        <v>0</v>
      </c>
      <c r="G474" s="4">
        <v>46074</v>
      </c>
      <c r="H474" s="4">
        <v>46079</v>
      </c>
      <c r="I474" s="4">
        <v>46081</v>
      </c>
      <c r="J474" s="4"/>
      <c r="K474" s="1" t="s">
        <v>55</v>
      </c>
      <c r="L474" s="1"/>
      <c r="M474" s="1"/>
      <c r="N474" s="1"/>
      <c r="O474" s="1"/>
      <c r="P474" s="1"/>
      <c r="Q474" s="1"/>
      <c r="R474" s="1"/>
      <c r="S474" s="1"/>
    </row>
    <row r="475" spans="1:19" ht="23" customHeight="1">
      <c r="A475" s="1" t="s">
        <v>532</v>
      </c>
      <c r="B475" s="4">
        <v>46092</v>
      </c>
      <c r="C475" s="1" t="s">
        <v>19</v>
      </c>
      <c r="D475" s="1" t="s">
        <v>54</v>
      </c>
      <c r="E475" s="5">
        <v>7000</v>
      </c>
      <c r="F475" s="1">
        <v>1</v>
      </c>
      <c r="G475" s="4">
        <v>46095</v>
      </c>
      <c r="H475" s="4">
        <v>46099</v>
      </c>
      <c r="I475" s="4">
        <v>46101</v>
      </c>
      <c r="J475" s="4"/>
      <c r="K475" s="1" t="s">
        <v>63</v>
      </c>
      <c r="L475" s="1"/>
      <c r="M475" s="1"/>
      <c r="N475" s="1"/>
      <c r="O475" s="1"/>
      <c r="P475" s="1"/>
      <c r="Q475" s="1"/>
      <c r="R475" s="1"/>
      <c r="S475" s="1"/>
    </row>
    <row r="476" spans="1:19" ht="23" customHeight="1">
      <c r="A476" s="1" t="s">
        <v>533</v>
      </c>
      <c r="B476" s="4">
        <v>46074</v>
      </c>
      <c r="C476" s="1" t="s">
        <v>19</v>
      </c>
      <c r="D476" s="1" t="s">
        <v>54</v>
      </c>
      <c r="E476" s="5">
        <v>8000</v>
      </c>
      <c r="F476" s="1">
        <v>1</v>
      </c>
      <c r="G476" s="4">
        <v>46080</v>
      </c>
      <c r="H476" s="4">
        <v>46083</v>
      </c>
      <c r="I476" s="4">
        <v>46084</v>
      </c>
      <c r="J476" s="4"/>
      <c r="K476" s="1" t="s">
        <v>55</v>
      </c>
      <c r="L476" s="1"/>
      <c r="M476" s="1"/>
      <c r="N476" s="1"/>
      <c r="O476" s="1"/>
      <c r="P476" s="1"/>
      <c r="Q476" s="1"/>
      <c r="R476" s="1"/>
      <c r="S476" s="1"/>
    </row>
    <row r="477" spans="1:19" ht="23" customHeight="1">
      <c r="A477" s="1" t="s">
        <v>534</v>
      </c>
      <c r="B477" s="4">
        <v>46050</v>
      </c>
      <c r="C477" s="1" t="s">
        <v>18</v>
      </c>
      <c r="D477" s="1" t="s">
        <v>59</v>
      </c>
      <c r="E477" s="5">
        <v>33000</v>
      </c>
      <c r="F477" s="1">
        <v>0</v>
      </c>
      <c r="G477" s="4">
        <v>46050</v>
      </c>
      <c r="H477" s="4">
        <v>46055</v>
      </c>
      <c r="I477" s="4">
        <v>46058</v>
      </c>
      <c r="J477" s="4"/>
      <c r="K477" s="1" t="s">
        <v>63</v>
      </c>
      <c r="L477" s="1"/>
      <c r="M477" s="1"/>
      <c r="N477" s="1"/>
      <c r="O477" s="1"/>
      <c r="P477" s="1"/>
      <c r="Q477" s="1"/>
      <c r="R477" s="1"/>
      <c r="S477" s="1"/>
    </row>
    <row r="478" spans="1:19" ht="23" customHeight="1">
      <c r="A478" s="1" t="s">
        <v>535</v>
      </c>
      <c r="B478" s="4">
        <v>46048</v>
      </c>
      <c r="C478" s="1" t="s">
        <v>18</v>
      </c>
      <c r="D478" s="1" t="s">
        <v>62</v>
      </c>
      <c r="E478" s="5">
        <v>11000</v>
      </c>
      <c r="F478" s="1">
        <v>1</v>
      </c>
      <c r="G478" s="4">
        <v>46057</v>
      </c>
      <c r="H478" s="4">
        <v>46062</v>
      </c>
      <c r="I478" s="4">
        <v>46064</v>
      </c>
      <c r="J478" s="4"/>
      <c r="K478" s="1" t="s">
        <v>55</v>
      </c>
      <c r="L478" s="1"/>
      <c r="M478" s="1"/>
      <c r="N478" s="1"/>
      <c r="O478" s="1"/>
      <c r="P478" s="1"/>
      <c r="Q478" s="1"/>
      <c r="R478" s="1"/>
      <c r="S478" s="1"/>
    </row>
    <row r="479" spans="1:19" ht="23" customHeight="1">
      <c r="A479" s="1" t="s">
        <v>536</v>
      </c>
      <c r="B479" s="4">
        <v>46097</v>
      </c>
      <c r="C479" s="1" t="s">
        <v>19</v>
      </c>
      <c r="D479" s="1" t="s">
        <v>54</v>
      </c>
      <c r="E479" s="5">
        <v>50000</v>
      </c>
      <c r="F479" s="1">
        <v>0</v>
      </c>
      <c r="G479" s="4">
        <v>46098</v>
      </c>
      <c r="H479" s="4">
        <v>46104</v>
      </c>
      <c r="I479" s="4">
        <v>46106</v>
      </c>
      <c r="J479" s="4"/>
      <c r="K479" s="1" t="s">
        <v>55</v>
      </c>
      <c r="L479" s="1"/>
      <c r="M479" s="1"/>
      <c r="N479" s="1"/>
      <c r="O479" s="1"/>
      <c r="P479" s="1"/>
      <c r="Q479" s="1"/>
      <c r="R479" s="1"/>
      <c r="S479" s="1"/>
    </row>
    <row r="480" spans="1:19" ht="23" customHeight="1">
      <c r="A480" s="1" t="s">
        <v>537</v>
      </c>
      <c r="B480" s="4">
        <v>46028</v>
      </c>
      <c r="C480" s="1" t="s">
        <v>19</v>
      </c>
      <c r="D480" s="1" t="s">
        <v>54</v>
      </c>
      <c r="E480" s="5">
        <v>45000</v>
      </c>
      <c r="F480" s="1">
        <v>1</v>
      </c>
      <c r="G480" s="4">
        <v>46037</v>
      </c>
      <c r="H480" s="4">
        <v>46041</v>
      </c>
      <c r="I480" s="4">
        <v>46043</v>
      </c>
      <c r="J480" s="4"/>
      <c r="K480" s="1" t="s">
        <v>63</v>
      </c>
      <c r="L480" s="1"/>
      <c r="M480" s="1"/>
      <c r="N480" s="1"/>
      <c r="O480" s="1"/>
      <c r="P480" s="1"/>
      <c r="Q480" s="1"/>
      <c r="R480" s="1"/>
      <c r="S480" s="1"/>
    </row>
    <row r="481" spans="1:19" ht="23" customHeight="1">
      <c r="A481" s="1" t="s">
        <v>538</v>
      </c>
      <c r="B481" s="4">
        <v>46062</v>
      </c>
      <c r="C481" s="1" t="s">
        <v>18</v>
      </c>
      <c r="D481" s="1" t="s">
        <v>62</v>
      </c>
      <c r="E481" s="5">
        <v>9000</v>
      </c>
      <c r="F481" s="1">
        <v>0</v>
      </c>
      <c r="G481" s="4">
        <v>46063</v>
      </c>
      <c r="H481" s="4">
        <v>46070</v>
      </c>
      <c r="I481" s="4">
        <v>46071</v>
      </c>
      <c r="J481" s="4"/>
      <c r="K481" s="1" t="s">
        <v>63</v>
      </c>
      <c r="L481" s="1"/>
      <c r="M481" s="1"/>
      <c r="N481" s="1"/>
      <c r="O481" s="1"/>
      <c r="P481" s="1"/>
      <c r="Q481" s="1"/>
      <c r="R481" s="1"/>
      <c r="S481" s="1"/>
    </row>
    <row r="482" spans="1:19" ht="23" customHeight="1">
      <c r="A482" s="1" t="s">
        <v>539</v>
      </c>
      <c r="B482" s="4">
        <v>46056</v>
      </c>
      <c r="C482" s="1" t="s">
        <v>19</v>
      </c>
      <c r="D482" s="1" t="s">
        <v>54</v>
      </c>
      <c r="E482" s="5">
        <v>35000</v>
      </c>
      <c r="F482" s="1">
        <v>0</v>
      </c>
      <c r="G482" s="4">
        <v>46058</v>
      </c>
      <c r="H482" s="4">
        <v>46059</v>
      </c>
      <c r="I482" s="4">
        <v>46062</v>
      </c>
      <c r="J482" s="4"/>
      <c r="K482" s="1" t="s">
        <v>55</v>
      </c>
      <c r="L482" s="1"/>
      <c r="M482" s="1"/>
      <c r="N482" s="1"/>
      <c r="O482" s="1"/>
      <c r="P482" s="1"/>
      <c r="Q482" s="1"/>
      <c r="R482" s="1"/>
      <c r="S482" s="1"/>
    </row>
    <row r="483" spans="1:19" ht="23" customHeight="1">
      <c r="A483" s="1" t="s">
        <v>540</v>
      </c>
      <c r="B483" s="4">
        <v>46105</v>
      </c>
      <c r="C483" s="1" t="s">
        <v>18</v>
      </c>
      <c r="D483" s="1" t="s">
        <v>65</v>
      </c>
      <c r="E483" s="5">
        <v>35000</v>
      </c>
      <c r="F483" s="1">
        <v>0</v>
      </c>
      <c r="G483" s="4">
        <v>46106</v>
      </c>
      <c r="H483" s="4">
        <v>46108</v>
      </c>
      <c r="I483" s="4">
        <v>46111</v>
      </c>
      <c r="J483" s="4"/>
      <c r="K483" s="1" t="s">
        <v>63</v>
      </c>
      <c r="L483" s="1"/>
      <c r="M483" s="1"/>
      <c r="N483" s="1"/>
      <c r="O483" s="1"/>
      <c r="P483" s="1"/>
      <c r="Q483" s="1"/>
      <c r="R483" s="1"/>
      <c r="S483" s="1"/>
    </row>
    <row r="484" spans="1:19" ht="23" customHeight="1">
      <c r="A484" s="1" t="s">
        <v>541</v>
      </c>
      <c r="B484" s="4">
        <v>46093</v>
      </c>
      <c r="C484" s="1" t="s">
        <v>19</v>
      </c>
      <c r="D484" s="1" t="s">
        <v>54</v>
      </c>
      <c r="E484" s="5">
        <v>22000</v>
      </c>
      <c r="F484" s="1">
        <v>0</v>
      </c>
      <c r="G484" s="4">
        <v>46095</v>
      </c>
      <c r="H484" s="4">
        <v>46097</v>
      </c>
      <c r="I484" s="4">
        <v>46100</v>
      </c>
      <c r="J484" s="4"/>
      <c r="K484" s="1" t="s">
        <v>63</v>
      </c>
      <c r="L484" s="1"/>
      <c r="M484" s="1"/>
      <c r="N484" s="1"/>
      <c r="O484" s="1"/>
      <c r="P484" s="1"/>
      <c r="Q484" s="1"/>
      <c r="R484" s="1"/>
      <c r="S484" s="1"/>
    </row>
    <row r="485" spans="1:19" ht="23" customHeight="1">
      <c r="A485" s="1" t="s">
        <v>542</v>
      </c>
      <c r="B485" s="4">
        <v>46095</v>
      </c>
      <c r="C485" s="1" t="s">
        <v>18</v>
      </c>
      <c r="D485" s="1" t="s">
        <v>59</v>
      </c>
      <c r="E485" s="5">
        <v>24000</v>
      </c>
      <c r="F485" s="1">
        <v>1</v>
      </c>
      <c r="G485" s="4">
        <v>46102</v>
      </c>
      <c r="H485" s="4">
        <v>46107</v>
      </c>
      <c r="I485" s="4">
        <v>46109</v>
      </c>
      <c r="J485" s="4"/>
      <c r="K485" s="1" t="s">
        <v>55</v>
      </c>
      <c r="L485" s="1"/>
      <c r="M485" s="1"/>
      <c r="N485" s="1"/>
      <c r="O485" s="1"/>
      <c r="P485" s="1"/>
      <c r="Q485" s="1"/>
      <c r="R485" s="1"/>
      <c r="S485" s="1"/>
    </row>
    <row r="486" spans="1:19" ht="23" customHeight="1">
      <c r="A486" s="1" t="s">
        <v>543</v>
      </c>
      <c r="B486" s="4">
        <v>46045</v>
      </c>
      <c r="C486" s="1" t="s">
        <v>18</v>
      </c>
      <c r="D486" s="1" t="s">
        <v>62</v>
      </c>
      <c r="E486" s="5">
        <v>44000</v>
      </c>
      <c r="F486" s="1">
        <v>0</v>
      </c>
      <c r="G486" s="4">
        <v>46045</v>
      </c>
      <c r="H486" s="4">
        <v>46051</v>
      </c>
      <c r="I486" s="4">
        <v>46052</v>
      </c>
      <c r="J486" s="4"/>
      <c r="K486" s="1" t="s">
        <v>55</v>
      </c>
      <c r="L486" s="1"/>
      <c r="M486" s="1"/>
      <c r="N486" s="1"/>
      <c r="O486" s="1"/>
      <c r="P486" s="1"/>
      <c r="Q486" s="1"/>
      <c r="R486" s="1"/>
      <c r="S486" s="1"/>
    </row>
    <row r="487" spans="1:19" ht="23" customHeight="1">
      <c r="A487" s="1" t="s">
        <v>544</v>
      </c>
      <c r="B487" s="4">
        <v>46039</v>
      </c>
      <c r="C487" s="1" t="s">
        <v>18</v>
      </c>
      <c r="D487" s="1" t="s">
        <v>65</v>
      </c>
      <c r="E487" s="5">
        <v>25000</v>
      </c>
      <c r="F487" s="1">
        <v>1</v>
      </c>
      <c r="G487" s="4"/>
      <c r="H487" s="4"/>
      <c r="I487" s="4"/>
      <c r="J487" s="4">
        <v>46045</v>
      </c>
      <c r="K487" s="1" t="s">
        <v>86</v>
      </c>
      <c r="L487" s="1"/>
      <c r="M487" s="1"/>
      <c r="N487" s="1"/>
      <c r="O487" s="1"/>
      <c r="P487" s="1"/>
      <c r="Q487" s="1"/>
      <c r="R487" s="1"/>
      <c r="S487" s="1"/>
    </row>
    <row r="488" spans="1:19" ht="23" customHeight="1">
      <c r="A488" s="1" t="s">
        <v>545</v>
      </c>
      <c r="B488" s="4">
        <v>46041</v>
      </c>
      <c r="C488" s="1" t="s">
        <v>18</v>
      </c>
      <c r="D488" s="1" t="s">
        <v>71</v>
      </c>
      <c r="E488" s="5">
        <v>18000</v>
      </c>
      <c r="F488" s="1">
        <v>0</v>
      </c>
      <c r="G488" s="4">
        <v>46041</v>
      </c>
      <c r="H488" s="4">
        <v>46044</v>
      </c>
      <c r="I488" s="4">
        <v>46047</v>
      </c>
      <c r="J488" s="4"/>
      <c r="K488" s="1" t="s">
        <v>55</v>
      </c>
      <c r="L488" s="1"/>
      <c r="M488" s="1"/>
      <c r="N488" s="1"/>
      <c r="O488" s="1"/>
      <c r="P488" s="1"/>
      <c r="Q488" s="1"/>
      <c r="R488" s="1"/>
      <c r="S488" s="1"/>
    </row>
    <row r="489" spans="1:19" ht="23" customHeight="1">
      <c r="A489" s="1" t="s">
        <v>546</v>
      </c>
      <c r="B489" s="4">
        <v>46096</v>
      </c>
      <c r="C489" s="1" t="s">
        <v>19</v>
      </c>
      <c r="D489" s="1" t="s">
        <v>54</v>
      </c>
      <c r="E489" s="5">
        <v>36000</v>
      </c>
      <c r="F489" s="1">
        <v>0</v>
      </c>
      <c r="G489" s="4">
        <v>46098</v>
      </c>
      <c r="H489" s="4">
        <v>46102</v>
      </c>
      <c r="I489" s="4">
        <v>46105</v>
      </c>
      <c r="J489" s="4"/>
      <c r="K489" s="1" t="s">
        <v>55</v>
      </c>
      <c r="L489" s="1"/>
      <c r="M489" s="1"/>
      <c r="N489" s="1"/>
      <c r="O489" s="1"/>
      <c r="P489" s="1"/>
      <c r="Q489" s="1"/>
      <c r="R489" s="1"/>
      <c r="S489" s="1"/>
    </row>
    <row r="490" spans="1:19" ht="23" customHeight="1">
      <c r="A490" s="1" t="s">
        <v>547</v>
      </c>
      <c r="B490" s="4">
        <v>46087</v>
      </c>
      <c r="C490" s="1" t="s">
        <v>19</v>
      </c>
      <c r="D490" s="1" t="s">
        <v>54</v>
      </c>
      <c r="E490" s="5">
        <v>11000</v>
      </c>
      <c r="F490" s="1">
        <v>1</v>
      </c>
      <c r="G490" s="4"/>
      <c r="H490" s="4"/>
      <c r="I490" s="4"/>
      <c r="J490" s="4">
        <v>46094</v>
      </c>
      <c r="K490" s="1" t="s">
        <v>86</v>
      </c>
      <c r="L490" s="1"/>
      <c r="M490" s="1"/>
      <c r="N490" s="1"/>
      <c r="O490" s="1"/>
      <c r="P490" s="1"/>
      <c r="Q490" s="1"/>
      <c r="R490" s="1"/>
      <c r="S490" s="1"/>
    </row>
    <row r="491" spans="1:19" ht="23" customHeight="1">
      <c r="A491" s="1" t="s">
        <v>548</v>
      </c>
      <c r="B491" s="4">
        <v>46073</v>
      </c>
      <c r="C491" s="1" t="s">
        <v>19</v>
      </c>
      <c r="D491" s="1" t="s">
        <v>54</v>
      </c>
      <c r="E491" s="5">
        <v>47000</v>
      </c>
      <c r="F491" s="1">
        <v>0</v>
      </c>
      <c r="G491" s="4">
        <v>46075</v>
      </c>
      <c r="H491" s="4">
        <v>46077</v>
      </c>
      <c r="I491" s="4">
        <v>46079</v>
      </c>
      <c r="J491" s="4"/>
      <c r="K491" s="1" t="s">
        <v>55</v>
      </c>
      <c r="L491" s="1"/>
      <c r="M491" s="1"/>
      <c r="N491" s="1"/>
      <c r="O491" s="1"/>
      <c r="P491" s="1"/>
      <c r="Q491" s="1"/>
      <c r="R491" s="1"/>
      <c r="S491" s="1"/>
    </row>
    <row r="492" spans="1:19" ht="23" customHeight="1">
      <c r="A492" s="1" t="s">
        <v>549</v>
      </c>
      <c r="B492" s="4">
        <v>46023</v>
      </c>
      <c r="C492" s="1" t="s">
        <v>19</v>
      </c>
      <c r="D492" s="1" t="s">
        <v>54</v>
      </c>
      <c r="E492" s="5">
        <v>16000</v>
      </c>
      <c r="F492" s="1">
        <v>0</v>
      </c>
      <c r="G492" s="4">
        <v>46024</v>
      </c>
      <c r="H492" s="4">
        <v>46030</v>
      </c>
      <c r="I492" s="4">
        <v>46033</v>
      </c>
      <c r="J492" s="4"/>
      <c r="K492" s="1" t="s">
        <v>63</v>
      </c>
      <c r="L492" s="1"/>
      <c r="M492" s="1"/>
      <c r="N492" s="1"/>
      <c r="O492" s="1"/>
      <c r="P492" s="1"/>
      <c r="Q492" s="1"/>
      <c r="R492" s="1"/>
      <c r="S492" s="1"/>
    </row>
    <row r="493" spans="1:19" ht="23" customHeight="1">
      <c r="A493" s="1" t="s">
        <v>550</v>
      </c>
      <c r="B493" s="4">
        <v>46094</v>
      </c>
      <c r="C493" s="1" t="s">
        <v>18</v>
      </c>
      <c r="D493" s="1" t="s">
        <v>62</v>
      </c>
      <c r="E493" s="5">
        <v>48000</v>
      </c>
      <c r="F493" s="1">
        <v>0</v>
      </c>
      <c r="G493" s="4">
        <v>46095</v>
      </c>
      <c r="H493" s="4">
        <v>46100</v>
      </c>
      <c r="I493" s="4">
        <v>46102</v>
      </c>
      <c r="J493" s="4"/>
      <c r="K493" s="1" t="s">
        <v>63</v>
      </c>
      <c r="L493" s="1"/>
      <c r="M493" s="1"/>
      <c r="N493" s="1"/>
      <c r="O493" s="1"/>
      <c r="P493" s="1"/>
      <c r="Q493" s="1"/>
      <c r="R493" s="1"/>
      <c r="S493" s="1"/>
    </row>
    <row r="494" spans="1:19" ht="23" customHeight="1">
      <c r="A494" s="1" t="s">
        <v>551</v>
      </c>
      <c r="B494" s="4">
        <v>46044</v>
      </c>
      <c r="C494" s="1" t="s">
        <v>18</v>
      </c>
      <c r="D494" s="1" t="s">
        <v>62</v>
      </c>
      <c r="E494" s="5">
        <v>9000</v>
      </c>
      <c r="F494" s="1">
        <v>0</v>
      </c>
      <c r="G494" s="4">
        <v>46044</v>
      </c>
      <c r="H494" s="4">
        <v>46047</v>
      </c>
      <c r="I494" s="4">
        <v>46049</v>
      </c>
      <c r="J494" s="4"/>
      <c r="K494" s="1" t="s">
        <v>63</v>
      </c>
      <c r="L494" s="1"/>
      <c r="M494" s="1"/>
      <c r="N494" s="1"/>
      <c r="O494" s="1"/>
      <c r="P494" s="1"/>
      <c r="Q494" s="1"/>
      <c r="R494" s="1"/>
      <c r="S494" s="1"/>
    </row>
    <row r="495" spans="1:19" ht="23" customHeight="1">
      <c r="A495" s="1" t="s">
        <v>552</v>
      </c>
      <c r="B495" s="4">
        <v>46061</v>
      </c>
      <c r="C495" s="1" t="s">
        <v>18</v>
      </c>
      <c r="D495" s="1" t="s">
        <v>59</v>
      </c>
      <c r="E495" s="5">
        <v>13000</v>
      </c>
      <c r="F495" s="1">
        <v>1</v>
      </c>
      <c r="G495" s="4">
        <v>46071</v>
      </c>
      <c r="H495" s="4">
        <v>46073</v>
      </c>
      <c r="I495" s="4">
        <v>46076</v>
      </c>
      <c r="J495" s="4"/>
      <c r="K495" s="1" t="s">
        <v>55</v>
      </c>
      <c r="L495" s="1"/>
      <c r="M495" s="1"/>
      <c r="N495" s="1"/>
      <c r="O495" s="1"/>
      <c r="P495" s="1"/>
      <c r="Q495" s="1"/>
      <c r="R495" s="1"/>
      <c r="S495" s="1"/>
    </row>
    <row r="496" spans="1:19" ht="23" customHeight="1">
      <c r="A496" s="1" t="s">
        <v>553</v>
      </c>
      <c r="B496" s="4">
        <v>46064</v>
      </c>
      <c r="C496" s="1" t="s">
        <v>19</v>
      </c>
      <c r="D496" s="1" t="s">
        <v>54</v>
      </c>
      <c r="E496" s="5">
        <v>31000</v>
      </c>
      <c r="F496" s="1">
        <v>0</v>
      </c>
      <c r="G496" s="4">
        <v>46065</v>
      </c>
      <c r="H496" s="4">
        <v>46071</v>
      </c>
      <c r="I496" s="4">
        <v>46074</v>
      </c>
      <c r="J496" s="4"/>
      <c r="K496" s="1" t="s">
        <v>55</v>
      </c>
      <c r="L496" s="1"/>
      <c r="M496" s="1"/>
      <c r="N496" s="1"/>
      <c r="O496" s="1"/>
      <c r="P496" s="1"/>
      <c r="Q496" s="1"/>
      <c r="R496" s="1"/>
      <c r="S496" s="1"/>
    </row>
    <row r="497" spans="1:19" ht="23" customHeight="1">
      <c r="A497" s="1" t="s">
        <v>554</v>
      </c>
      <c r="B497" s="4">
        <v>46099</v>
      </c>
      <c r="C497" s="1" t="s">
        <v>18</v>
      </c>
      <c r="D497" s="1" t="s">
        <v>59</v>
      </c>
      <c r="E497" s="5">
        <v>47000</v>
      </c>
      <c r="F497" s="1">
        <v>1</v>
      </c>
      <c r="G497" s="4">
        <v>46104</v>
      </c>
      <c r="H497" s="4">
        <v>46107</v>
      </c>
      <c r="I497" s="4">
        <v>46108</v>
      </c>
      <c r="J497" s="4"/>
      <c r="K497" s="1" t="s">
        <v>55</v>
      </c>
      <c r="L497" s="1"/>
      <c r="M497" s="1"/>
      <c r="N497" s="1"/>
      <c r="O497" s="1"/>
      <c r="P497" s="1"/>
      <c r="Q497" s="1"/>
      <c r="R497" s="1"/>
      <c r="S497" s="1"/>
    </row>
    <row r="498" spans="1:19" ht="23" customHeight="1">
      <c r="A498" s="1" t="s">
        <v>555</v>
      </c>
      <c r="B498" s="4">
        <v>46074</v>
      </c>
      <c r="C498" s="1" t="s">
        <v>19</v>
      </c>
      <c r="D498" s="1" t="s">
        <v>54</v>
      </c>
      <c r="E498" s="5">
        <v>39000</v>
      </c>
      <c r="F498" s="1">
        <v>0</v>
      </c>
      <c r="G498" s="4">
        <v>46075</v>
      </c>
      <c r="H498" s="4">
        <v>46081</v>
      </c>
      <c r="I498" s="4">
        <v>46084</v>
      </c>
      <c r="J498" s="4"/>
      <c r="K498" s="1" t="s">
        <v>55</v>
      </c>
      <c r="L498" s="1"/>
      <c r="M498" s="1"/>
      <c r="N498" s="1"/>
      <c r="O498" s="1"/>
      <c r="P498" s="1"/>
      <c r="Q498" s="1"/>
      <c r="R498" s="1"/>
      <c r="S498" s="1"/>
    </row>
    <row r="499" spans="1:19" ht="23" customHeight="1">
      <c r="A499" s="1" t="s">
        <v>556</v>
      </c>
      <c r="B499" s="4">
        <v>46084</v>
      </c>
      <c r="C499" s="1" t="s">
        <v>18</v>
      </c>
      <c r="D499" s="1" t="s">
        <v>59</v>
      </c>
      <c r="E499" s="5">
        <v>23000</v>
      </c>
      <c r="F499" s="1">
        <v>1</v>
      </c>
      <c r="G499" s="4"/>
      <c r="H499" s="4"/>
      <c r="I499" s="4"/>
      <c r="J499" s="4">
        <v>46089</v>
      </c>
      <c r="K499" s="1" t="s">
        <v>86</v>
      </c>
      <c r="L499" s="1"/>
      <c r="M499" s="1"/>
      <c r="N499" s="1"/>
      <c r="O499" s="1"/>
      <c r="P499" s="1"/>
      <c r="Q499" s="1"/>
      <c r="R499" s="1"/>
      <c r="S499" s="1"/>
    </row>
    <row r="500" spans="1:19" ht="23" customHeight="1">
      <c r="A500" s="1" t="s">
        <v>557</v>
      </c>
      <c r="B500" s="4">
        <v>46036</v>
      </c>
      <c r="C500" s="1" t="s">
        <v>18</v>
      </c>
      <c r="D500" s="1" t="s">
        <v>65</v>
      </c>
      <c r="E500" s="5">
        <v>20000</v>
      </c>
      <c r="F500" s="1">
        <v>1</v>
      </c>
      <c r="G500" s="4">
        <v>46044</v>
      </c>
      <c r="H500" s="4">
        <v>46046</v>
      </c>
      <c r="I500" s="4">
        <v>46047</v>
      </c>
      <c r="J500" s="4"/>
      <c r="K500" s="1" t="s">
        <v>55</v>
      </c>
      <c r="L500" s="1"/>
      <c r="M500" s="1"/>
      <c r="N500" s="1"/>
      <c r="O500" s="1"/>
      <c r="P500" s="1"/>
      <c r="Q500" s="1"/>
      <c r="R500" s="1"/>
      <c r="S500" s="1"/>
    </row>
    <row r="501" spans="1:19" ht="23" customHeight="1">
      <c r="A501" s="1" t="s">
        <v>558</v>
      </c>
      <c r="B501" s="4">
        <v>46033</v>
      </c>
      <c r="C501" s="1" t="s">
        <v>19</v>
      </c>
      <c r="D501" s="1" t="s">
        <v>54</v>
      </c>
      <c r="E501" s="5">
        <v>22000</v>
      </c>
      <c r="F501" s="1">
        <v>0</v>
      </c>
      <c r="G501" s="4">
        <v>46034</v>
      </c>
      <c r="H501" s="4">
        <v>46038</v>
      </c>
      <c r="I501" s="4">
        <v>46041</v>
      </c>
      <c r="J501" s="4"/>
      <c r="K501" s="1" t="s">
        <v>63</v>
      </c>
      <c r="L501" s="1"/>
      <c r="M501" s="1"/>
      <c r="N501" s="1"/>
      <c r="O501" s="1"/>
      <c r="P501" s="1"/>
      <c r="Q501" s="1"/>
      <c r="R501" s="1"/>
      <c r="S501" s="1"/>
    </row>
    <row r="502" spans="1:19" ht="23" customHeight="1">
      <c r="A502" s="1" t="s">
        <v>559</v>
      </c>
      <c r="B502" s="4">
        <v>46087</v>
      </c>
      <c r="C502" s="1" t="s">
        <v>19</v>
      </c>
      <c r="D502" s="1" t="s">
        <v>54</v>
      </c>
      <c r="E502" s="5">
        <v>39000</v>
      </c>
      <c r="F502" s="1">
        <v>0</v>
      </c>
      <c r="G502" s="4">
        <v>46089</v>
      </c>
      <c r="H502" s="4">
        <v>46094</v>
      </c>
      <c r="I502" s="4">
        <v>46096</v>
      </c>
      <c r="J502" s="4"/>
      <c r="K502" s="1" t="s">
        <v>55</v>
      </c>
      <c r="L502" s="1"/>
      <c r="M502" s="1"/>
      <c r="N502" s="1"/>
      <c r="O502" s="1"/>
      <c r="P502" s="1"/>
      <c r="Q502" s="1"/>
      <c r="R502" s="1"/>
      <c r="S502" s="1"/>
    </row>
    <row r="503" spans="1:19" ht="23" customHeight="1">
      <c r="A503" s="1" t="s">
        <v>560</v>
      </c>
      <c r="B503" s="4">
        <v>46031</v>
      </c>
      <c r="C503" s="1" t="s">
        <v>18</v>
      </c>
      <c r="D503" s="1" t="s">
        <v>65</v>
      </c>
      <c r="E503" s="5">
        <v>15000</v>
      </c>
      <c r="F503" s="1">
        <v>1</v>
      </c>
      <c r="G503" s="4">
        <v>46036</v>
      </c>
      <c r="H503" s="4">
        <v>46037</v>
      </c>
      <c r="I503" s="4">
        <v>46040</v>
      </c>
      <c r="J503" s="4"/>
      <c r="K503" s="1" t="s">
        <v>63</v>
      </c>
      <c r="L503" s="1"/>
      <c r="M503" s="1"/>
      <c r="N503" s="1"/>
      <c r="O503" s="1"/>
      <c r="P503" s="1"/>
      <c r="Q503" s="1"/>
      <c r="R503" s="1"/>
      <c r="S503" s="1"/>
    </row>
    <row r="504" spans="1:19" ht="23" customHeight="1">
      <c r="A504" s="1" t="s">
        <v>561</v>
      </c>
      <c r="B504" s="4">
        <v>46039</v>
      </c>
      <c r="C504" s="1" t="s">
        <v>18</v>
      </c>
      <c r="D504" s="1" t="s">
        <v>71</v>
      </c>
      <c r="E504" s="5">
        <v>38000</v>
      </c>
      <c r="F504" s="1">
        <v>0</v>
      </c>
      <c r="G504" s="4">
        <v>46039</v>
      </c>
      <c r="H504" s="4">
        <v>46045</v>
      </c>
      <c r="I504" s="4">
        <v>46048</v>
      </c>
      <c r="J504" s="4"/>
      <c r="K504" s="1" t="s">
        <v>55</v>
      </c>
      <c r="L504" s="1"/>
      <c r="M504" s="1"/>
      <c r="N504" s="1"/>
      <c r="O504" s="1"/>
      <c r="P504" s="1"/>
      <c r="Q504" s="1"/>
      <c r="R504" s="1"/>
      <c r="S504" s="1"/>
    </row>
    <row r="505" spans="1:19" ht="23" customHeight="1">
      <c r="A505" s="1" t="s">
        <v>562</v>
      </c>
      <c r="B505" s="4">
        <v>46041</v>
      </c>
      <c r="C505" s="1" t="s">
        <v>19</v>
      </c>
      <c r="D505" s="1" t="s">
        <v>54</v>
      </c>
      <c r="E505" s="5">
        <v>18000</v>
      </c>
      <c r="F505" s="1">
        <v>0</v>
      </c>
      <c r="G505" s="4">
        <v>46043</v>
      </c>
      <c r="H505" s="4">
        <v>46047</v>
      </c>
      <c r="I505" s="4">
        <v>46048</v>
      </c>
      <c r="J505" s="4"/>
      <c r="K505" s="1" t="s">
        <v>55</v>
      </c>
      <c r="L505" s="1"/>
      <c r="M505" s="1"/>
      <c r="N505" s="1"/>
      <c r="O505" s="1"/>
      <c r="P505" s="1"/>
      <c r="Q505" s="1"/>
      <c r="R505" s="1"/>
      <c r="S505" s="1"/>
    </row>
    <row r="506" spans="1:19" ht="23" customHeight="1">
      <c r="A506" s="1" t="s">
        <v>563</v>
      </c>
      <c r="B506" s="4">
        <v>46090</v>
      </c>
      <c r="C506" s="1" t="s">
        <v>18</v>
      </c>
      <c r="D506" s="1" t="s">
        <v>59</v>
      </c>
      <c r="E506" s="5">
        <v>45000</v>
      </c>
      <c r="F506" s="1">
        <v>0</v>
      </c>
      <c r="G506" s="4">
        <v>46091</v>
      </c>
      <c r="H506" s="4">
        <v>46093</v>
      </c>
      <c r="I506" s="4">
        <v>46094</v>
      </c>
      <c r="J506" s="4"/>
      <c r="K506" s="1" t="s">
        <v>55</v>
      </c>
      <c r="L506" s="1"/>
      <c r="M506" s="1"/>
      <c r="N506" s="1"/>
      <c r="O506" s="1"/>
      <c r="P506" s="1"/>
      <c r="Q506" s="1"/>
      <c r="R506" s="1"/>
      <c r="S506" s="1"/>
    </row>
    <row r="507" spans="1:19" ht="23" customHeight="1">
      <c r="A507" s="1" t="s">
        <v>564</v>
      </c>
      <c r="B507" s="4">
        <v>46072</v>
      </c>
      <c r="C507" s="1" t="s">
        <v>19</v>
      </c>
      <c r="D507" s="1" t="s">
        <v>54</v>
      </c>
      <c r="E507" s="5">
        <v>7000</v>
      </c>
      <c r="F507" s="1">
        <v>0</v>
      </c>
      <c r="G507" s="4">
        <v>46074</v>
      </c>
      <c r="H507" s="4">
        <v>46078</v>
      </c>
      <c r="I507" s="4">
        <v>46081</v>
      </c>
      <c r="J507" s="4"/>
      <c r="K507" s="1" t="s">
        <v>55</v>
      </c>
      <c r="L507" s="1"/>
      <c r="M507" s="1"/>
      <c r="N507" s="1"/>
      <c r="O507" s="1"/>
      <c r="P507" s="1"/>
      <c r="Q507" s="1"/>
      <c r="R507" s="1"/>
      <c r="S507" s="1"/>
    </row>
    <row r="508" spans="1:19" ht="23" customHeight="1">
      <c r="A508" s="1" t="s">
        <v>565</v>
      </c>
      <c r="B508" s="4">
        <v>46095</v>
      </c>
      <c r="C508" s="1" t="s">
        <v>18</v>
      </c>
      <c r="D508" s="1" t="s">
        <v>62</v>
      </c>
      <c r="E508" s="5">
        <v>41000</v>
      </c>
      <c r="F508" s="1">
        <v>1</v>
      </c>
      <c r="G508" s="4">
        <v>46099</v>
      </c>
      <c r="H508" s="4">
        <v>46102</v>
      </c>
      <c r="I508" s="4">
        <v>46105</v>
      </c>
      <c r="J508" s="4"/>
      <c r="K508" s="1" t="s">
        <v>55</v>
      </c>
      <c r="L508" s="1"/>
      <c r="M508" s="1"/>
      <c r="N508" s="1"/>
      <c r="O508" s="1"/>
      <c r="P508" s="1"/>
      <c r="Q508" s="1"/>
      <c r="R508" s="1"/>
      <c r="S508" s="1"/>
    </row>
    <row r="509" spans="1:19" ht="23" customHeight="1">
      <c r="A509" s="1" t="s">
        <v>566</v>
      </c>
      <c r="B509" s="4">
        <v>46058</v>
      </c>
      <c r="C509" s="1" t="s">
        <v>19</v>
      </c>
      <c r="D509" s="1" t="s">
        <v>54</v>
      </c>
      <c r="E509" s="5">
        <v>29000</v>
      </c>
      <c r="F509" s="1">
        <v>0</v>
      </c>
      <c r="G509" s="4">
        <v>46058</v>
      </c>
      <c r="H509" s="4">
        <v>46063</v>
      </c>
      <c r="I509" s="4">
        <v>46066</v>
      </c>
      <c r="J509" s="4"/>
      <c r="K509" s="1" t="s">
        <v>55</v>
      </c>
      <c r="L509" s="1"/>
      <c r="M509" s="1"/>
      <c r="N509" s="1"/>
      <c r="O509" s="1"/>
      <c r="P509" s="1"/>
      <c r="Q509" s="1"/>
      <c r="R509" s="1"/>
      <c r="S509" s="1"/>
    </row>
    <row r="510" spans="1:19" ht="23" customHeight="1">
      <c r="A510" s="1" t="s">
        <v>567</v>
      </c>
      <c r="B510" s="4">
        <v>46053</v>
      </c>
      <c r="C510" s="1" t="s">
        <v>18</v>
      </c>
      <c r="D510" s="1" t="s">
        <v>71</v>
      </c>
      <c r="E510" s="5">
        <v>31000</v>
      </c>
      <c r="F510" s="1">
        <v>1</v>
      </c>
      <c r="G510" s="4">
        <v>46061</v>
      </c>
      <c r="H510" s="4">
        <v>46066</v>
      </c>
      <c r="I510" s="4">
        <v>46067</v>
      </c>
      <c r="J510" s="4"/>
      <c r="K510" s="1" t="s">
        <v>55</v>
      </c>
      <c r="L510" s="1"/>
      <c r="M510" s="1"/>
      <c r="N510" s="1"/>
      <c r="O510" s="1"/>
      <c r="P510" s="1"/>
      <c r="Q510" s="1"/>
      <c r="R510" s="1"/>
      <c r="S510" s="1"/>
    </row>
    <row r="511" spans="1:19" ht="23" customHeight="1">
      <c r="A511" s="1" t="s">
        <v>568</v>
      </c>
      <c r="B511" s="4">
        <v>46049</v>
      </c>
      <c r="C511" s="1" t="s">
        <v>18</v>
      </c>
      <c r="D511" s="1" t="s">
        <v>62</v>
      </c>
      <c r="E511" s="5">
        <v>15000</v>
      </c>
      <c r="F511" s="1">
        <v>0</v>
      </c>
      <c r="G511" s="4">
        <v>46051</v>
      </c>
      <c r="H511" s="4">
        <v>46056</v>
      </c>
      <c r="I511" s="4">
        <v>46058</v>
      </c>
      <c r="J511" s="4"/>
      <c r="K511" s="1" t="s">
        <v>55</v>
      </c>
      <c r="L511" s="1"/>
      <c r="M511" s="1"/>
      <c r="N511" s="1"/>
      <c r="O511" s="1"/>
      <c r="P511" s="1"/>
      <c r="Q511" s="1"/>
      <c r="R511" s="1"/>
      <c r="S511" s="1"/>
    </row>
    <row r="512" spans="1:19" ht="23" customHeight="1">
      <c r="A512" s="1" t="s">
        <v>569</v>
      </c>
      <c r="B512" s="4">
        <v>46091</v>
      </c>
      <c r="C512" s="1" t="s">
        <v>18</v>
      </c>
      <c r="D512" s="1" t="s">
        <v>59</v>
      </c>
      <c r="E512" s="5">
        <v>48000</v>
      </c>
      <c r="F512" s="1">
        <v>0</v>
      </c>
      <c r="G512" s="4">
        <v>46093</v>
      </c>
      <c r="H512" s="4">
        <v>46095</v>
      </c>
      <c r="I512" s="4">
        <v>46096</v>
      </c>
      <c r="J512" s="4"/>
      <c r="K512" s="1" t="s">
        <v>63</v>
      </c>
      <c r="L512" s="1"/>
      <c r="M512" s="1"/>
      <c r="N512" s="1"/>
      <c r="O512" s="1"/>
      <c r="P512" s="1"/>
      <c r="Q512" s="1"/>
      <c r="R512" s="1"/>
      <c r="S512" s="1"/>
    </row>
    <row r="513" spans="1:19" ht="23" customHeight="1">
      <c r="A513" s="1" t="s">
        <v>570</v>
      </c>
      <c r="B513" s="4">
        <v>46024</v>
      </c>
      <c r="C513" s="1" t="s">
        <v>18</v>
      </c>
      <c r="D513" s="1" t="s">
        <v>71</v>
      </c>
      <c r="E513" s="5">
        <v>33000</v>
      </c>
      <c r="F513" s="1">
        <v>0</v>
      </c>
      <c r="G513" s="4">
        <v>46025</v>
      </c>
      <c r="H513" s="4">
        <v>46028</v>
      </c>
      <c r="I513" s="4">
        <v>46029</v>
      </c>
      <c r="J513" s="4"/>
      <c r="K513" s="1" t="s">
        <v>63</v>
      </c>
      <c r="L513" s="1"/>
      <c r="M513" s="1"/>
      <c r="N513" s="1"/>
      <c r="O513" s="1"/>
      <c r="P513" s="1"/>
      <c r="Q513" s="1"/>
      <c r="R513" s="1"/>
      <c r="S513" s="1"/>
    </row>
    <row r="514" spans="1:19" ht="23" customHeight="1">
      <c r="A514" s="1" t="s">
        <v>571</v>
      </c>
      <c r="B514" s="4">
        <v>46024</v>
      </c>
      <c r="C514" s="1" t="s">
        <v>19</v>
      </c>
      <c r="D514" s="1" t="s">
        <v>54</v>
      </c>
      <c r="E514" s="5">
        <v>45000</v>
      </c>
      <c r="F514" s="1">
        <v>0</v>
      </c>
      <c r="G514" s="4">
        <v>46024</v>
      </c>
      <c r="H514" s="4">
        <v>46025</v>
      </c>
      <c r="I514" s="4">
        <v>46026</v>
      </c>
      <c r="J514" s="4"/>
      <c r="K514" s="1" t="s">
        <v>63</v>
      </c>
      <c r="L514" s="1"/>
      <c r="M514" s="1"/>
      <c r="N514" s="1"/>
      <c r="O514" s="1"/>
      <c r="P514" s="1"/>
      <c r="Q514" s="1"/>
      <c r="R514" s="1"/>
      <c r="S514" s="1"/>
    </row>
    <row r="515" spans="1:19" ht="23" customHeight="1">
      <c r="A515" s="1" t="s">
        <v>572</v>
      </c>
      <c r="B515" s="4">
        <v>46062</v>
      </c>
      <c r="C515" s="1" t="s">
        <v>18</v>
      </c>
      <c r="D515" s="1" t="s">
        <v>71</v>
      </c>
      <c r="E515" s="5">
        <v>14000</v>
      </c>
      <c r="F515" s="1">
        <v>0</v>
      </c>
      <c r="G515" s="4">
        <v>46062</v>
      </c>
      <c r="H515" s="4">
        <v>46066</v>
      </c>
      <c r="I515" s="4">
        <v>46067</v>
      </c>
      <c r="J515" s="4"/>
      <c r="K515" s="1" t="s">
        <v>63</v>
      </c>
      <c r="L515" s="1"/>
      <c r="M515" s="1"/>
      <c r="N515" s="1"/>
      <c r="O515" s="1"/>
      <c r="P515" s="1"/>
      <c r="Q515" s="1"/>
      <c r="R515" s="1"/>
      <c r="S515" s="1"/>
    </row>
    <row r="516" spans="1:19" ht="23" customHeight="1">
      <c r="A516" s="1" t="s">
        <v>573</v>
      </c>
      <c r="B516" s="4">
        <v>46101</v>
      </c>
      <c r="C516" s="1" t="s">
        <v>18</v>
      </c>
      <c r="D516" s="1" t="s">
        <v>65</v>
      </c>
      <c r="E516" s="5">
        <v>18000</v>
      </c>
      <c r="F516" s="1">
        <v>0</v>
      </c>
      <c r="G516" s="4">
        <v>46103</v>
      </c>
      <c r="H516" s="4">
        <v>46107</v>
      </c>
      <c r="I516" s="4">
        <v>46110</v>
      </c>
      <c r="J516" s="4"/>
      <c r="K516" s="1" t="s">
        <v>63</v>
      </c>
      <c r="L516" s="1"/>
      <c r="M516" s="1"/>
      <c r="N516" s="1"/>
      <c r="O516" s="1"/>
      <c r="P516" s="1"/>
      <c r="Q516" s="1"/>
      <c r="R516" s="1"/>
      <c r="S516" s="1"/>
    </row>
    <row r="517" spans="1:19" ht="23" customHeight="1">
      <c r="A517" s="1" t="s">
        <v>574</v>
      </c>
      <c r="B517" s="4">
        <v>46083</v>
      </c>
      <c r="C517" s="1" t="s">
        <v>18</v>
      </c>
      <c r="D517" s="1" t="s">
        <v>62</v>
      </c>
      <c r="E517" s="5">
        <v>26000</v>
      </c>
      <c r="F517" s="1">
        <v>0</v>
      </c>
      <c r="G517" s="4">
        <v>46084</v>
      </c>
      <c r="H517" s="4">
        <v>46092</v>
      </c>
      <c r="I517" s="4">
        <v>46095</v>
      </c>
      <c r="J517" s="4"/>
      <c r="K517" s="1" t="s">
        <v>55</v>
      </c>
      <c r="L517" s="1"/>
      <c r="M517" s="1"/>
      <c r="N517" s="1"/>
      <c r="O517" s="1"/>
      <c r="P517" s="1"/>
      <c r="Q517" s="1"/>
      <c r="R517" s="1"/>
      <c r="S517" s="1"/>
    </row>
    <row r="518" spans="1:19" ht="23" customHeight="1">
      <c r="A518" s="1" t="s">
        <v>575</v>
      </c>
      <c r="B518" s="4">
        <v>46109</v>
      </c>
      <c r="C518" s="1" t="s">
        <v>19</v>
      </c>
      <c r="D518" s="1" t="s">
        <v>54</v>
      </c>
      <c r="E518" s="5">
        <v>28000</v>
      </c>
      <c r="F518" s="1">
        <v>1</v>
      </c>
      <c r="G518" s="4"/>
      <c r="H518" s="4"/>
      <c r="I518" s="4"/>
      <c r="J518" s="4"/>
      <c r="K518" s="1" t="s">
        <v>69</v>
      </c>
      <c r="L518" s="1"/>
      <c r="M518" s="1"/>
      <c r="N518" s="1"/>
      <c r="O518" s="1"/>
      <c r="P518" s="1"/>
      <c r="Q518" s="1"/>
      <c r="R518" s="1"/>
      <c r="S518" s="1"/>
    </row>
    <row r="519" spans="1:19" ht="23" customHeight="1">
      <c r="A519" s="1" t="s">
        <v>576</v>
      </c>
      <c r="B519" s="4">
        <v>46082</v>
      </c>
      <c r="C519" s="1" t="s">
        <v>19</v>
      </c>
      <c r="D519" s="1" t="s">
        <v>54</v>
      </c>
      <c r="E519" s="5">
        <v>29000</v>
      </c>
      <c r="F519" s="1">
        <v>1</v>
      </c>
      <c r="G519" s="4">
        <v>46086</v>
      </c>
      <c r="H519" s="4">
        <v>46090</v>
      </c>
      <c r="I519" s="4">
        <v>46093</v>
      </c>
      <c r="J519" s="4"/>
      <c r="K519" s="1" t="s">
        <v>63</v>
      </c>
      <c r="L519" s="1"/>
      <c r="M519" s="1"/>
      <c r="N519" s="1"/>
      <c r="O519" s="1"/>
      <c r="P519" s="1"/>
      <c r="Q519" s="1"/>
      <c r="R519" s="1"/>
      <c r="S519" s="1"/>
    </row>
    <row r="520" spans="1:19" ht="23" customHeight="1">
      <c r="A520" s="1" t="s">
        <v>577</v>
      </c>
      <c r="B520" s="4">
        <v>46037</v>
      </c>
      <c r="C520" s="1" t="s">
        <v>18</v>
      </c>
      <c r="D520" s="1" t="s">
        <v>71</v>
      </c>
      <c r="E520" s="5">
        <v>34000</v>
      </c>
      <c r="F520" s="1">
        <v>0</v>
      </c>
      <c r="G520" s="4">
        <v>46039</v>
      </c>
      <c r="H520" s="4">
        <v>46040</v>
      </c>
      <c r="I520" s="4">
        <v>46042</v>
      </c>
      <c r="J520" s="4"/>
      <c r="K520" s="1" t="s">
        <v>55</v>
      </c>
      <c r="L520" s="1"/>
      <c r="M520" s="1"/>
      <c r="N520" s="1"/>
      <c r="O520" s="1"/>
      <c r="P520" s="1"/>
      <c r="Q520" s="1"/>
      <c r="R520" s="1"/>
      <c r="S520" s="1"/>
    </row>
    <row r="521" spans="1:19" ht="23" customHeight="1">
      <c r="A521" s="1" t="s">
        <v>578</v>
      </c>
      <c r="B521" s="4">
        <v>46104</v>
      </c>
      <c r="C521" s="1" t="s">
        <v>18</v>
      </c>
      <c r="D521" s="1" t="s">
        <v>59</v>
      </c>
      <c r="E521" s="5">
        <v>16000</v>
      </c>
      <c r="F521" s="1">
        <v>0</v>
      </c>
      <c r="G521" s="4">
        <v>46104</v>
      </c>
      <c r="H521" s="4">
        <v>46110</v>
      </c>
      <c r="I521" s="4">
        <v>46111</v>
      </c>
      <c r="J521" s="4"/>
      <c r="K521" s="1" t="s">
        <v>63</v>
      </c>
      <c r="L521" s="1"/>
      <c r="M521" s="1"/>
      <c r="N521" s="1"/>
      <c r="O521" s="1"/>
      <c r="P521" s="1"/>
      <c r="Q521" s="1"/>
      <c r="R521" s="1"/>
      <c r="S521" s="1"/>
    </row>
    <row r="522" spans="1:19" ht="23" customHeight="1">
      <c r="A522" s="1" t="s">
        <v>579</v>
      </c>
      <c r="B522" s="4">
        <v>46112</v>
      </c>
      <c r="C522" s="1" t="s">
        <v>18</v>
      </c>
      <c r="D522" s="1" t="s">
        <v>65</v>
      </c>
      <c r="E522" s="5">
        <v>13000</v>
      </c>
      <c r="F522" s="1">
        <v>1</v>
      </c>
      <c r="G522" s="4"/>
      <c r="H522" s="4"/>
      <c r="I522" s="4"/>
      <c r="J522" s="4"/>
      <c r="K522" s="1" t="s">
        <v>69</v>
      </c>
      <c r="L522" s="1"/>
      <c r="M522" s="1"/>
      <c r="N522" s="1"/>
      <c r="O522" s="1"/>
      <c r="P522" s="1"/>
      <c r="Q522" s="1"/>
      <c r="R522" s="1"/>
      <c r="S522" s="1"/>
    </row>
    <row r="523" spans="1:19" ht="23" customHeight="1">
      <c r="A523" s="1" t="s">
        <v>580</v>
      </c>
      <c r="B523" s="4">
        <v>46094</v>
      </c>
      <c r="C523" s="1" t="s">
        <v>18</v>
      </c>
      <c r="D523" s="1" t="s">
        <v>62</v>
      </c>
      <c r="E523" s="5">
        <v>27000</v>
      </c>
      <c r="F523" s="1">
        <v>1</v>
      </c>
      <c r="G523" s="4">
        <v>46100</v>
      </c>
      <c r="H523" s="4">
        <v>46107</v>
      </c>
      <c r="I523" s="4">
        <v>46108</v>
      </c>
      <c r="J523" s="4"/>
      <c r="K523" s="1" t="s">
        <v>55</v>
      </c>
      <c r="L523" s="1"/>
      <c r="M523" s="1"/>
      <c r="N523" s="1"/>
      <c r="O523" s="1"/>
      <c r="P523" s="1"/>
      <c r="Q523" s="1"/>
      <c r="R523" s="1"/>
      <c r="S523" s="1"/>
    </row>
    <row r="524" spans="1:19" ht="23" customHeight="1">
      <c r="A524" s="1" t="s">
        <v>581</v>
      </c>
      <c r="B524" s="4">
        <v>46110</v>
      </c>
      <c r="C524" s="1" t="s">
        <v>18</v>
      </c>
      <c r="D524" s="1" t="s">
        <v>71</v>
      </c>
      <c r="E524" s="5">
        <v>36000</v>
      </c>
      <c r="F524" s="1">
        <v>0</v>
      </c>
      <c r="G524" s="4">
        <v>46112</v>
      </c>
      <c r="H524" s="4"/>
      <c r="I524" s="4"/>
      <c r="J524" s="4"/>
      <c r="K524" s="1" t="s">
        <v>69</v>
      </c>
      <c r="L524" s="1"/>
      <c r="M524" s="1"/>
      <c r="N524" s="1"/>
      <c r="O524" s="1"/>
      <c r="P524" s="1"/>
      <c r="Q524" s="1"/>
      <c r="R524" s="1"/>
      <c r="S524" s="1"/>
    </row>
    <row r="525" spans="1:19" ht="23" customHeight="1">
      <c r="A525" s="1" t="s">
        <v>582</v>
      </c>
      <c r="B525" s="4">
        <v>46059</v>
      </c>
      <c r="C525" s="1" t="s">
        <v>19</v>
      </c>
      <c r="D525" s="1" t="s">
        <v>54</v>
      </c>
      <c r="E525" s="5">
        <v>47000</v>
      </c>
      <c r="F525" s="1">
        <v>0</v>
      </c>
      <c r="G525" s="4">
        <v>46061</v>
      </c>
      <c r="H525" s="4">
        <v>46067</v>
      </c>
      <c r="I525" s="4">
        <v>46070</v>
      </c>
      <c r="J525" s="4"/>
      <c r="K525" s="1" t="s">
        <v>55</v>
      </c>
      <c r="L525" s="1"/>
      <c r="M525" s="1"/>
      <c r="N525" s="1"/>
      <c r="O525" s="1"/>
      <c r="P525" s="1"/>
      <c r="Q525" s="1"/>
      <c r="R525" s="1"/>
      <c r="S525" s="1"/>
    </row>
    <row r="526" spans="1:19" ht="23" customHeight="1">
      <c r="A526" s="1" t="s">
        <v>583</v>
      </c>
      <c r="B526" s="4">
        <v>46072</v>
      </c>
      <c r="C526" s="1" t="s">
        <v>19</v>
      </c>
      <c r="D526" s="1" t="s">
        <v>54</v>
      </c>
      <c r="E526" s="5">
        <v>10000</v>
      </c>
      <c r="F526" s="1">
        <v>0</v>
      </c>
      <c r="G526" s="4">
        <v>46072</v>
      </c>
      <c r="H526" s="4">
        <v>46078</v>
      </c>
      <c r="I526" s="4">
        <v>46080</v>
      </c>
      <c r="J526" s="4"/>
      <c r="K526" s="1" t="s">
        <v>63</v>
      </c>
      <c r="L526" s="1"/>
      <c r="M526" s="1"/>
      <c r="N526" s="1"/>
      <c r="O526" s="1"/>
      <c r="P526" s="1"/>
      <c r="Q526" s="1"/>
      <c r="R526" s="1"/>
      <c r="S526" s="1"/>
    </row>
    <row r="527" spans="1:19" ht="23" customHeight="1">
      <c r="A527" s="1" t="s">
        <v>584</v>
      </c>
      <c r="B527" s="4">
        <v>46079</v>
      </c>
      <c r="C527" s="1" t="s">
        <v>18</v>
      </c>
      <c r="D527" s="1" t="s">
        <v>71</v>
      </c>
      <c r="E527" s="5">
        <v>34000</v>
      </c>
      <c r="F527" s="1">
        <v>0</v>
      </c>
      <c r="G527" s="4">
        <v>46079</v>
      </c>
      <c r="H527" s="4">
        <v>46080</v>
      </c>
      <c r="I527" s="4">
        <v>46082</v>
      </c>
      <c r="J527" s="4"/>
      <c r="K527" s="1" t="s">
        <v>55</v>
      </c>
      <c r="L527" s="1"/>
      <c r="M527" s="1"/>
      <c r="N527" s="1"/>
      <c r="O527" s="1"/>
      <c r="P527" s="1"/>
      <c r="Q527" s="1"/>
      <c r="R527" s="1"/>
      <c r="S527" s="1"/>
    </row>
    <row r="528" spans="1:19" ht="23" customHeight="1">
      <c r="A528" s="1" t="s">
        <v>585</v>
      </c>
      <c r="B528" s="4">
        <v>46086</v>
      </c>
      <c r="C528" s="1" t="s">
        <v>19</v>
      </c>
      <c r="D528" s="1" t="s">
        <v>54</v>
      </c>
      <c r="E528" s="5">
        <v>42000</v>
      </c>
      <c r="F528" s="1">
        <v>0</v>
      </c>
      <c r="G528" s="4">
        <v>46088</v>
      </c>
      <c r="H528" s="4">
        <v>46089</v>
      </c>
      <c r="I528" s="4">
        <v>46090</v>
      </c>
      <c r="J528" s="4"/>
      <c r="K528" s="1" t="s">
        <v>55</v>
      </c>
      <c r="L528" s="1"/>
      <c r="M528" s="1"/>
      <c r="N528" s="1"/>
      <c r="O528" s="1"/>
      <c r="P528" s="1"/>
      <c r="Q528" s="1"/>
      <c r="R528" s="1"/>
      <c r="S528" s="1"/>
    </row>
    <row r="529" spans="1:19" ht="23" customHeight="1">
      <c r="A529" s="1" t="s">
        <v>586</v>
      </c>
      <c r="B529" s="4">
        <v>46111</v>
      </c>
      <c r="C529" s="1" t="s">
        <v>18</v>
      </c>
      <c r="D529" s="1" t="s">
        <v>65</v>
      </c>
      <c r="E529" s="5">
        <v>18000</v>
      </c>
      <c r="F529" s="1">
        <v>0</v>
      </c>
      <c r="G529" s="4"/>
      <c r="H529" s="4"/>
      <c r="I529" s="4"/>
      <c r="J529" s="4"/>
      <c r="K529" s="1" t="s">
        <v>69</v>
      </c>
      <c r="L529" s="1"/>
      <c r="M529" s="1"/>
      <c r="N529" s="1"/>
      <c r="O529" s="1"/>
      <c r="P529" s="1"/>
      <c r="Q529" s="1"/>
      <c r="R529" s="1"/>
      <c r="S529" s="1"/>
    </row>
    <row r="530" spans="1:19" ht="23" customHeight="1">
      <c r="A530" s="1" t="s">
        <v>587</v>
      </c>
      <c r="B530" s="4">
        <v>46104</v>
      </c>
      <c r="C530" s="1" t="s">
        <v>19</v>
      </c>
      <c r="D530" s="1" t="s">
        <v>54</v>
      </c>
      <c r="E530" s="5">
        <v>42000</v>
      </c>
      <c r="F530" s="1">
        <v>1</v>
      </c>
      <c r="G530" s="4"/>
      <c r="H530" s="4"/>
      <c r="I530" s="4"/>
      <c r="J530" s="4">
        <v>46111</v>
      </c>
      <c r="K530" s="1" t="s">
        <v>86</v>
      </c>
      <c r="L530" s="1"/>
      <c r="M530" s="1"/>
      <c r="N530" s="1"/>
      <c r="O530" s="1"/>
      <c r="P530" s="1"/>
      <c r="Q530" s="1"/>
      <c r="R530" s="1"/>
      <c r="S530" s="1"/>
    </row>
    <row r="531" spans="1:19" ht="23" customHeight="1">
      <c r="A531" s="1" t="s">
        <v>588</v>
      </c>
      <c r="B531" s="4">
        <v>46049</v>
      </c>
      <c r="C531" s="1" t="s">
        <v>18</v>
      </c>
      <c r="D531" s="1" t="s">
        <v>71</v>
      </c>
      <c r="E531" s="5">
        <v>35000</v>
      </c>
      <c r="F531" s="1">
        <v>0</v>
      </c>
      <c r="G531" s="4">
        <v>46051</v>
      </c>
      <c r="H531" s="4">
        <v>46057</v>
      </c>
      <c r="I531" s="4">
        <v>46059</v>
      </c>
      <c r="J531" s="4"/>
      <c r="K531" s="1" t="s">
        <v>63</v>
      </c>
      <c r="L531" s="1"/>
      <c r="M531" s="1"/>
      <c r="N531" s="1"/>
      <c r="O531" s="1"/>
      <c r="P531" s="1"/>
      <c r="Q531" s="1"/>
      <c r="R531" s="1"/>
      <c r="S531" s="1"/>
    </row>
    <row r="532" spans="1:19" ht="23" customHeight="1">
      <c r="A532" s="1" t="s">
        <v>589</v>
      </c>
      <c r="B532" s="4">
        <v>46029</v>
      </c>
      <c r="C532" s="1" t="s">
        <v>18</v>
      </c>
      <c r="D532" s="1" t="s">
        <v>65</v>
      </c>
      <c r="E532" s="5">
        <v>17000</v>
      </c>
      <c r="F532" s="1">
        <v>1</v>
      </c>
      <c r="G532" s="4">
        <v>46035</v>
      </c>
      <c r="H532" s="4">
        <v>46039</v>
      </c>
      <c r="I532" s="4">
        <v>46041</v>
      </c>
      <c r="J532" s="4"/>
      <c r="K532" s="1" t="s">
        <v>55</v>
      </c>
      <c r="L532" s="1"/>
      <c r="M532" s="1"/>
      <c r="N532" s="1"/>
      <c r="O532" s="1"/>
      <c r="P532" s="1"/>
      <c r="Q532" s="1"/>
      <c r="R532" s="1"/>
      <c r="S532" s="1"/>
    </row>
    <row r="533" spans="1:19" ht="23" customHeight="1">
      <c r="A533" s="1" t="s">
        <v>590</v>
      </c>
      <c r="B533" s="4">
        <v>46025</v>
      </c>
      <c r="C533" s="1" t="s">
        <v>18</v>
      </c>
      <c r="D533" s="1" t="s">
        <v>59</v>
      </c>
      <c r="E533" s="5">
        <v>39000</v>
      </c>
      <c r="F533" s="1">
        <v>0</v>
      </c>
      <c r="G533" s="4">
        <v>46027</v>
      </c>
      <c r="H533" s="4">
        <v>46033</v>
      </c>
      <c r="I533" s="4">
        <v>46036</v>
      </c>
      <c r="J533" s="4"/>
      <c r="K533" s="1" t="s">
        <v>63</v>
      </c>
      <c r="L533" s="1"/>
      <c r="M533" s="1"/>
      <c r="N533" s="1"/>
      <c r="O533" s="1"/>
      <c r="P533" s="1"/>
      <c r="Q533" s="1"/>
      <c r="R533" s="1"/>
      <c r="S533" s="1"/>
    </row>
    <row r="534" spans="1:19" ht="23" customHeight="1">
      <c r="A534" s="1" t="s">
        <v>591</v>
      </c>
      <c r="B534" s="4">
        <v>46052</v>
      </c>
      <c r="C534" s="1" t="s">
        <v>18</v>
      </c>
      <c r="D534" s="1" t="s">
        <v>65</v>
      </c>
      <c r="E534" s="5">
        <v>32000</v>
      </c>
      <c r="F534" s="1">
        <v>0</v>
      </c>
      <c r="G534" s="4">
        <v>46053</v>
      </c>
      <c r="H534" s="4">
        <v>46056</v>
      </c>
      <c r="I534" s="4">
        <v>46057</v>
      </c>
      <c r="J534" s="4"/>
      <c r="K534" s="1" t="s">
        <v>55</v>
      </c>
      <c r="L534" s="1"/>
      <c r="M534" s="1"/>
      <c r="N534" s="1"/>
      <c r="O534" s="1"/>
      <c r="P534" s="1"/>
      <c r="Q534" s="1"/>
      <c r="R534" s="1"/>
      <c r="S534" s="1"/>
    </row>
    <row r="535" spans="1:19" ht="23" customHeight="1">
      <c r="A535" s="1" t="s">
        <v>592</v>
      </c>
      <c r="B535" s="4">
        <v>46103</v>
      </c>
      <c r="C535" s="1" t="s">
        <v>18</v>
      </c>
      <c r="D535" s="1" t="s">
        <v>65</v>
      </c>
      <c r="E535" s="5">
        <v>13000</v>
      </c>
      <c r="F535" s="1">
        <v>0</v>
      </c>
      <c r="G535" s="4">
        <v>46105</v>
      </c>
      <c r="H535" s="4">
        <v>46110</v>
      </c>
      <c r="I535" s="4">
        <v>46111</v>
      </c>
      <c r="J535" s="4"/>
      <c r="K535" s="1" t="s">
        <v>55</v>
      </c>
      <c r="L535" s="1"/>
      <c r="M535" s="1"/>
      <c r="N535" s="1"/>
      <c r="O535" s="1"/>
      <c r="P535" s="1"/>
      <c r="Q535" s="1"/>
      <c r="R535" s="1"/>
      <c r="S535" s="1"/>
    </row>
    <row r="536" spans="1:19" ht="23" customHeight="1">
      <c r="A536" s="1" t="s">
        <v>593</v>
      </c>
      <c r="B536" s="4">
        <v>46034</v>
      </c>
      <c r="C536" s="1" t="s">
        <v>18</v>
      </c>
      <c r="D536" s="1" t="s">
        <v>65</v>
      </c>
      <c r="E536" s="5">
        <v>31000</v>
      </c>
      <c r="F536" s="1">
        <v>0</v>
      </c>
      <c r="G536" s="4">
        <v>46034</v>
      </c>
      <c r="H536" s="4">
        <v>46040</v>
      </c>
      <c r="I536" s="4">
        <v>46041</v>
      </c>
      <c r="J536" s="4"/>
      <c r="K536" s="1" t="s">
        <v>55</v>
      </c>
      <c r="L536" s="1"/>
      <c r="M536" s="1"/>
      <c r="N536" s="1"/>
      <c r="O536" s="1"/>
      <c r="P536" s="1"/>
      <c r="Q536" s="1"/>
      <c r="R536" s="1"/>
      <c r="S536" s="1"/>
    </row>
    <row r="537" spans="1:19" ht="23" customHeight="1">
      <c r="A537" s="1" t="s">
        <v>594</v>
      </c>
      <c r="B537" s="4">
        <v>46037</v>
      </c>
      <c r="C537" s="1" t="s">
        <v>18</v>
      </c>
      <c r="D537" s="1" t="s">
        <v>65</v>
      </c>
      <c r="E537" s="5">
        <v>9000</v>
      </c>
      <c r="F537" s="1">
        <v>1</v>
      </c>
      <c r="G537" s="4">
        <v>46041</v>
      </c>
      <c r="H537" s="4">
        <v>46046</v>
      </c>
      <c r="I537" s="4">
        <v>46047</v>
      </c>
      <c r="J537" s="4"/>
      <c r="K537" s="1" t="s">
        <v>55</v>
      </c>
      <c r="L537" s="1"/>
      <c r="M537" s="1"/>
      <c r="N537" s="1"/>
      <c r="O537" s="1"/>
      <c r="P537" s="1"/>
      <c r="Q537" s="1"/>
      <c r="R537" s="1"/>
      <c r="S537" s="1"/>
    </row>
    <row r="538" spans="1:19" ht="23" customHeight="1">
      <c r="A538" s="1" t="s">
        <v>595</v>
      </c>
      <c r="B538" s="4">
        <v>46087</v>
      </c>
      <c r="C538" s="1" t="s">
        <v>18</v>
      </c>
      <c r="D538" s="1" t="s">
        <v>71</v>
      </c>
      <c r="E538" s="5">
        <v>10000</v>
      </c>
      <c r="F538" s="1">
        <v>0</v>
      </c>
      <c r="G538" s="4">
        <v>46087</v>
      </c>
      <c r="H538" s="4">
        <v>46091</v>
      </c>
      <c r="I538" s="4">
        <v>46093</v>
      </c>
      <c r="J538" s="4"/>
      <c r="K538" s="1" t="s">
        <v>55</v>
      </c>
      <c r="L538" s="1"/>
      <c r="M538" s="1"/>
      <c r="N538" s="1"/>
      <c r="O538" s="1"/>
      <c r="P538" s="1"/>
      <c r="Q538" s="1"/>
      <c r="R538" s="1"/>
      <c r="S538" s="1"/>
    </row>
    <row r="539" spans="1:19" ht="23" customHeight="1">
      <c r="A539" s="1" t="s">
        <v>596</v>
      </c>
      <c r="B539" s="4">
        <v>46111</v>
      </c>
      <c r="C539" s="1" t="s">
        <v>19</v>
      </c>
      <c r="D539" s="1" t="s">
        <v>54</v>
      </c>
      <c r="E539" s="5">
        <v>24000</v>
      </c>
      <c r="F539" s="1">
        <v>0</v>
      </c>
      <c r="G539" s="4"/>
      <c r="H539" s="4"/>
      <c r="I539" s="4"/>
      <c r="J539" s="4"/>
      <c r="K539" s="1" t="s">
        <v>69</v>
      </c>
      <c r="L539" s="1"/>
      <c r="M539" s="1"/>
      <c r="N539" s="1"/>
      <c r="O539" s="1"/>
      <c r="P539" s="1"/>
      <c r="Q539" s="1"/>
      <c r="R539" s="1"/>
      <c r="S539" s="1"/>
    </row>
    <row r="540" spans="1:19" ht="23" customHeight="1">
      <c r="A540" s="1" t="s">
        <v>597</v>
      </c>
      <c r="B540" s="4">
        <v>46099</v>
      </c>
      <c r="C540" s="1" t="s">
        <v>18</v>
      </c>
      <c r="D540" s="1" t="s">
        <v>65</v>
      </c>
      <c r="E540" s="5">
        <v>8000</v>
      </c>
      <c r="F540" s="1">
        <v>1</v>
      </c>
      <c r="G540" s="4">
        <v>46108</v>
      </c>
      <c r="H540" s="4">
        <v>46109</v>
      </c>
      <c r="I540" s="4">
        <v>46111</v>
      </c>
      <c r="J540" s="4"/>
      <c r="K540" s="1" t="s">
        <v>55</v>
      </c>
      <c r="L540" s="1"/>
      <c r="M540" s="1"/>
      <c r="N540" s="1"/>
      <c r="O540" s="1"/>
      <c r="P540" s="1"/>
      <c r="Q540" s="1"/>
      <c r="R540" s="1"/>
      <c r="S540" s="1"/>
    </row>
    <row r="541" spans="1:19" ht="23" customHeight="1">
      <c r="A541" s="1" t="s">
        <v>598</v>
      </c>
      <c r="B541" s="4">
        <v>46059</v>
      </c>
      <c r="C541" s="1" t="s">
        <v>18</v>
      </c>
      <c r="D541" s="1" t="s">
        <v>59</v>
      </c>
      <c r="E541" s="5">
        <v>42000</v>
      </c>
      <c r="F541" s="1">
        <v>1</v>
      </c>
      <c r="G541" s="4">
        <v>46066</v>
      </c>
      <c r="H541" s="4">
        <v>46067</v>
      </c>
      <c r="I541" s="4">
        <v>46068</v>
      </c>
      <c r="J541" s="4"/>
      <c r="K541" s="1" t="s">
        <v>55</v>
      </c>
      <c r="L541" s="1"/>
      <c r="M541" s="1"/>
      <c r="N541" s="1"/>
      <c r="O541" s="1"/>
      <c r="P541" s="1"/>
      <c r="Q541" s="1"/>
      <c r="R541" s="1"/>
      <c r="S541" s="1"/>
    </row>
    <row r="542" spans="1:19" ht="23" customHeight="1">
      <c r="A542" s="1" t="s">
        <v>599</v>
      </c>
      <c r="B542" s="4">
        <v>46030</v>
      </c>
      <c r="C542" s="1" t="s">
        <v>19</v>
      </c>
      <c r="D542" s="1" t="s">
        <v>54</v>
      </c>
      <c r="E542" s="5">
        <v>38000</v>
      </c>
      <c r="F542" s="1">
        <v>0</v>
      </c>
      <c r="G542" s="4">
        <v>46031</v>
      </c>
      <c r="H542" s="4">
        <v>46037</v>
      </c>
      <c r="I542" s="4">
        <v>46038</v>
      </c>
      <c r="J542" s="4"/>
      <c r="K542" s="1" t="s">
        <v>63</v>
      </c>
      <c r="L542" s="1"/>
      <c r="M542" s="1"/>
      <c r="N542" s="1"/>
      <c r="O542" s="1"/>
      <c r="P542" s="1"/>
      <c r="Q542" s="1"/>
      <c r="R542" s="1"/>
      <c r="S542" s="1"/>
    </row>
    <row r="543" spans="1:19" ht="23" customHeight="1">
      <c r="A543" s="1" t="s">
        <v>600</v>
      </c>
      <c r="B543" s="4">
        <v>46083</v>
      </c>
      <c r="C543" s="1" t="s">
        <v>18</v>
      </c>
      <c r="D543" s="1" t="s">
        <v>65</v>
      </c>
      <c r="E543" s="5">
        <v>19000</v>
      </c>
      <c r="F543" s="1">
        <v>1</v>
      </c>
      <c r="G543" s="4">
        <v>46087</v>
      </c>
      <c r="H543" s="4">
        <v>46092</v>
      </c>
      <c r="I543" s="4">
        <v>46094</v>
      </c>
      <c r="J543" s="4"/>
      <c r="K543" s="1" t="s">
        <v>55</v>
      </c>
      <c r="L543" s="1"/>
      <c r="M543" s="1"/>
      <c r="N543" s="1"/>
      <c r="O543" s="1"/>
      <c r="P543" s="1"/>
      <c r="Q543" s="1"/>
      <c r="R543" s="1"/>
      <c r="S543" s="1"/>
    </row>
    <row r="544" spans="1:19" ht="23" customHeight="1">
      <c r="A544" s="1" t="s">
        <v>601</v>
      </c>
      <c r="B544" s="4">
        <v>46097</v>
      </c>
      <c r="C544" s="1" t="s">
        <v>18</v>
      </c>
      <c r="D544" s="1" t="s">
        <v>65</v>
      </c>
      <c r="E544" s="5">
        <v>26000</v>
      </c>
      <c r="F544" s="1">
        <v>0</v>
      </c>
      <c r="G544" s="4">
        <v>46099</v>
      </c>
      <c r="H544" s="4">
        <v>46103</v>
      </c>
      <c r="I544" s="4">
        <v>46104</v>
      </c>
      <c r="J544" s="4"/>
      <c r="K544" s="1" t="s">
        <v>63</v>
      </c>
      <c r="L544" s="1"/>
      <c r="M544" s="1"/>
      <c r="N544" s="1"/>
      <c r="O544" s="1"/>
      <c r="P544" s="1"/>
      <c r="Q544" s="1"/>
      <c r="R544" s="1"/>
      <c r="S544" s="1"/>
    </row>
    <row r="545" spans="1:19" ht="23" customHeight="1">
      <c r="A545" s="1" t="s">
        <v>602</v>
      </c>
      <c r="B545" s="4">
        <v>46025</v>
      </c>
      <c r="C545" s="1" t="s">
        <v>18</v>
      </c>
      <c r="D545" s="1" t="s">
        <v>65</v>
      </c>
      <c r="E545" s="5">
        <v>29000</v>
      </c>
      <c r="F545" s="1">
        <v>1</v>
      </c>
      <c r="G545" s="4">
        <v>46032</v>
      </c>
      <c r="H545" s="4">
        <v>46035</v>
      </c>
      <c r="I545" s="4">
        <v>46038</v>
      </c>
      <c r="J545" s="4"/>
      <c r="K545" s="1" t="s">
        <v>55</v>
      </c>
      <c r="L545" s="1"/>
      <c r="M545" s="1"/>
      <c r="N545" s="1"/>
      <c r="O545" s="1"/>
      <c r="P545" s="1"/>
      <c r="Q545" s="1"/>
      <c r="R545" s="1"/>
      <c r="S545" s="1"/>
    </row>
    <row r="546" spans="1:19" ht="23" customHeight="1">
      <c r="A546" s="1" t="s">
        <v>603</v>
      </c>
      <c r="B546" s="4">
        <v>46058</v>
      </c>
      <c r="C546" s="1" t="s">
        <v>18</v>
      </c>
      <c r="D546" s="1" t="s">
        <v>71</v>
      </c>
      <c r="E546" s="5">
        <v>9000</v>
      </c>
      <c r="F546" s="1">
        <v>0</v>
      </c>
      <c r="G546" s="4">
        <v>46058</v>
      </c>
      <c r="H546" s="4">
        <v>46060</v>
      </c>
      <c r="I546" s="4">
        <v>46063</v>
      </c>
      <c r="J546" s="4"/>
      <c r="K546" s="1" t="s">
        <v>55</v>
      </c>
      <c r="L546" s="1"/>
      <c r="M546" s="1"/>
      <c r="N546" s="1"/>
      <c r="O546" s="1"/>
      <c r="P546" s="1"/>
      <c r="Q546" s="1"/>
      <c r="R546" s="1"/>
      <c r="S546" s="1"/>
    </row>
    <row r="547" spans="1:19" ht="23" customHeight="1">
      <c r="A547" s="1" t="s">
        <v>604</v>
      </c>
      <c r="B547" s="4">
        <v>46109</v>
      </c>
      <c r="C547" s="1" t="s">
        <v>19</v>
      </c>
      <c r="D547" s="1" t="s">
        <v>54</v>
      </c>
      <c r="E547" s="5">
        <v>29000</v>
      </c>
      <c r="F547" s="1">
        <v>0</v>
      </c>
      <c r="G547" s="4">
        <v>46110</v>
      </c>
      <c r="H547" s="4"/>
      <c r="I547" s="4"/>
      <c r="J547" s="4"/>
      <c r="K547" s="1" t="s">
        <v>69</v>
      </c>
      <c r="L547" s="1"/>
      <c r="M547" s="1"/>
      <c r="N547" s="1"/>
      <c r="O547" s="1"/>
      <c r="P547" s="1"/>
      <c r="Q547" s="1"/>
      <c r="R547" s="1"/>
      <c r="S547" s="1"/>
    </row>
    <row r="548" spans="1:19" ht="23" customHeight="1">
      <c r="A548" s="1" t="s">
        <v>605</v>
      </c>
      <c r="B548" s="4">
        <v>46072</v>
      </c>
      <c r="C548" s="1" t="s">
        <v>19</v>
      </c>
      <c r="D548" s="1" t="s">
        <v>54</v>
      </c>
      <c r="E548" s="5">
        <v>16000</v>
      </c>
      <c r="F548" s="1">
        <v>0</v>
      </c>
      <c r="G548" s="4">
        <v>46072</v>
      </c>
      <c r="H548" s="4">
        <v>46078</v>
      </c>
      <c r="I548" s="4">
        <v>46079</v>
      </c>
      <c r="J548" s="4"/>
      <c r="K548" s="1" t="s">
        <v>55</v>
      </c>
      <c r="L548" s="1"/>
      <c r="M548" s="1"/>
      <c r="N548" s="1"/>
      <c r="O548" s="1"/>
      <c r="P548" s="1"/>
      <c r="Q548" s="1"/>
      <c r="R548" s="1"/>
      <c r="S548" s="1"/>
    </row>
    <row r="549" spans="1:19" ht="23" customHeight="1">
      <c r="A549" s="1" t="s">
        <v>606</v>
      </c>
      <c r="B549" s="4">
        <v>46044</v>
      </c>
      <c r="C549" s="1" t="s">
        <v>18</v>
      </c>
      <c r="D549" s="1" t="s">
        <v>71</v>
      </c>
      <c r="E549" s="5">
        <v>14000</v>
      </c>
      <c r="F549" s="1">
        <v>0</v>
      </c>
      <c r="G549" s="4">
        <v>46044</v>
      </c>
      <c r="H549" s="4">
        <v>46046</v>
      </c>
      <c r="I549" s="4">
        <v>46047</v>
      </c>
      <c r="J549" s="4"/>
      <c r="K549" s="1" t="s">
        <v>55</v>
      </c>
      <c r="L549" s="1"/>
      <c r="M549" s="1"/>
      <c r="N549" s="1"/>
      <c r="O549" s="1"/>
      <c r="P549" s="1"/>
      <c r="Q549" s="1"/>
      <c r="R549" s="1"/>
      <c r="S549" s="1"/>
    </row>
    <row r="550" spans="1:19" ht="23" customHeight="1">
      <c r="A550" s="1" t="s">
        <v>607</v>
      </c>
      <c r="B550" s="4">
        <v>46089</v>
      </c>
      <c r="C550" s="1" t="s">
        <v>19</v>
      </c>
      <c r="D550" s="1" t="s">
        <v>54</v>
      </c>
      <c r="E550" s="5">
        <v>5000</v>
      </c>
      <c r="F550" s="1">
        <v>0</v>
      </c>
      <c r="G550" s="4">
        <v>46091</v>
      </c>
      <c r="H550" s="4">
        <v>46097</v>
      </c>
      <c r="I550" s="4">
        <v>46098</v>
      </c>
      <c r="J550" s="4"/>
      <c r="K550" s="1" t="s">
        <v>55</v>
      </c>
      <c r="L550" s="1"/>
      <c r="M550" s="1"/>
      <c r="N550" s="1"/>
      <c r="O550" s="1"/>
      <c r="P550" s="1"/>
      <c r="Q550" s="1"/>
      <c r="R550" s="1"/>
      <c r="S550" s="1"/>
    </row>
    <row r="551" spans="1:19" ht="23" customHeight="1">
      <c r="A551" s="1" t="s">
        <v>608</v>
      </c>
      <c r="B551" s="4">
        <v>46033</v>
      </c>
      <c r="C551" s="1" t="s">
        <v>19</v>
      </c>
      <c r="D551" s="1" t="s">
        <v>54</v>
      </c>
      <c r="E551" s="5">
        <v>49000</v>
      </c>
      <c r="F551" s="1">
        <v>0</v>
      </c>
      <c r="G551" s="4">
        <v>46034</v>
      </c>
      <c r="H551" s="4">
        <v>46037</v>
      </c>
      <c r="I551" s="4">
        <v>46038</v>
      </c>
      <c r="J551" s="4"/>
      <c r="K551" s="1" t="s">
        <v>55</v>
      </c>
      <c r="L551" s="1"/>
      <c r="M551" s="1"/>
      <c r="N551" s="1"/>
      <c r="O551" s="1"/>
      <c r="P551" s="1"/>
      <c r="Q551" s="1"/>
      <c r="R551" s="1"/>
      <c r="S551" s="1"/>
    </row>
    <row r="552" spans="1:19" ht="23" customHeight="1">
      <c r="A552" s="1" t="s">
        <v>609</v>
      </c>
      <c r="B552" s="4">
        <v>46048</v>
      </c>
      <c r="C552" s="1" t="s">
        <v>18</v>
      </c>
      <c r="D552" s="1" t="s">
        <v>62</v>
      </c>
      <c r="E552" s="5">
        <v>37000</v>
      </c>
      <c r="F552" s="1">
        <v>1</v>
      </c>
      <c r="G552" s="4">
        <v>46054</v>
      </c>
      <c r="H552" s="4">
        <v>46058</v>
      </c>
      <c r="I552" s="4">
        <v>46060</v>
      </c>
      <c r="J552" s="4"/>
      <c r="K552" s="1" t="s">
        <v>55</v>
      </c>
      <c r="L552" s="1"/>
      <c r="M552" s="1"/>
      <c r="N552" s="1"/>
      <c r="O552" s="1"/>
      <c r="P552" s="1"/>
      <c r="Q552" s="1"/>
      <c r="R552" s="1"/>
      <c r="S552" s="1"/>
    </row>
    <row r="553" spans="1:19" ht="23" customHeight="1">
      <c r="A553" s="1" t="s">
        <v>610</v>
      </c>
      <c r="B553" s="4">
        <v>46087</v>
      </c>
      <c r="C553" s="1" t="s">
        <v>18</v>
      </c>
      <c r="D553" s="1" t="s">
        <v>65</v>
      </c>
      <c r="E553" s="5">
        <v>31000</v>
      </c>
      <c r="F553" s="1">
        <v>0</v>
      </c>
      <c r="G553" s="4">
        <v>46089</v>
      </c>
      <c r="H553" s="4">
        <v>46092</v>
      </c>
      <c r="I553" s="4">
        <v>46095</v>
      </c>
      <c r="J553" s="4"/>
      <c r="K553" s="1" t="s">
        <v>55</v>
      </c>
      <c r="L553" s="1"/>
      <c r="M553" s="1"/>
      <c r="N553" s="1"/>
      <c r="O553" s="1"/>
      <c r="P553" s="1"/>
      <c r="Q553" s="1"/>
      <c r="R553" s="1"/>
      <c r="S553" s="1"/>
    </row>
    <row r="554" spans="1:19" ht="23" customHeight="1">
      <c r="A554" s="1" t="s">
        <v>611</v>
      </c>
      <c r="B554" s="4">
        <v>46079</v>
      </c>
      <c r="C554" s="1" t="s">
        <v>19</v>
      </c>
      <c r="D554" s="1" t="s">
        <v>54</v>
      </c>
      <c r="E554" s="5">
        <v>32000</v>
      </c>
      <c r="F554" s="1">
        <v>1</v>
      </c>
      <c r="G554" s="4">
        <v>46085</v>
      </c>
      <c r="H554" s="4">
        <v>46088</v>
      </c>
      <c r="I554" s="4">
        <v>46090</v>
      </c>
      <c r="J554" s="4"/>
      <c r="K554" s="1" t="s">
        <v>55</v>
      </c>
      <c r="L554" s="1"/>
      <c r="M554" s="1"/>
      <c r="N554" s="1"/>
      <c r="O554" s="1"/>
      <c r="P554" s="1"/>
      <c r="Q554" s="1"/>
      <c r="R554" s="1"/>
      <c r="S554" s="1"/>
    </row>
    <row r="555" spans="1:19" ht="23" customHeight="1">
      <c r="A555" s="1" t="s">
        <v>612</v>
      </c>
      <c r="B555" s="4">
        <v>46107</v>
      </c>
      <c r="C555" s="1" t="s">
        <v>18</v>
      </c>
      <c r="D555" s="1" t="s">
        <v>62</v>
      </c>
      <c r="E555" s="5">
        <v>7000</v>
      </c>
      <c r="F555" s="1">
        <v>1</v>
      </c>
      <c r="G555" s="4"/>
      <c r="H555" s="4"/>
      <c r="I555" s="4"/>
      <c r="J555" s="4"/>
      <c r="K555" s="1" t="s">
        <v>69</v>
      </c>
      <c r="L555" s="1"/>
      <c r="M555" s="1"/>
      <c r="N555" s="1"/>
      <c r="O555" s="1"/>
      <c r="P555" s="1"/>
      <c r="Q555" s="1"/>
      <c r="R555" s="1"/>
      <c r="S555" s="1"/>
    </row>
    <row r="556" spans="1:19" ht="23" customHeight="1">
      <c r="A556" s="1" t="s">
        <v>613</v>
      </c>
      <c r="B556" s="4">
        <v>46092</v>
      </c>
      <c r="C556" s="1" t="s">
        <v>19</v>
      </c>
      <c r="D556" s="1" t="s">
        <v>54</v>
      </c>
      <c r="E556" s="5">
        <v>47000</v>
      </c>
      <c r="F556" s="1">
        <v>1</v>
      </c>
      <c r="G556" s="4">
        <v>46100</v>
      </c>
      <c r="H556" s="4">
        <v>46106</v>
      </c>
      <c r="I556" s="4">
        <v>46108</v>
      </c>
      <c r="J556" s="4"/>
      <c r="K556" s="1" t="s">
        <v>55</v>
      </c>
      <c r="L556" s="1"/>
      <c r="M556" s="1"/>
      <c r="N556" s="1"/>
      <c r="O556" s="1"/>
      <c r="P556" s="1"/>
      <c r="Q556" s="1"/>
      <c r="R556" s="1"/>
      <c r="S556" s="1"/>
    </row>
    <row r="557" spans="1:19" ht="23" customHeight="1">
      <c r="A557" s="1" t="s">
        <v>614</v>
      </c>
      <c r="B557" s="4">
        <v>46103</v>
      </c>
      <c r="C557" s="1" t="s">
        <v>19</v>
      </c>
      <c r="D557" s="1" t="s">
        <v>54</v>
      </c>
      <c r="E557" s="5">
        <v>30000</v>
      </c>
      <c r="F557" s="1">
        <v>0</v>
      </c>
      <c r="G557" s="4">
        <v>46103</v>
      </c>
      <c r="H557" s="4">
        <v>46107</v>
      </c>
      <c r="I557" s="4">
        <v>46108</v>
      </c>
      <c r="J557" s="4"/>
      <c r="K557" s="1" t="s">
        <v>55</v>
      </c>
      <c r="L557" s="1"/>
      <c r="M557" s="1"/>
      <c r="N557" s="1"/>
      <c r="O557" s="1"/>
      <c r="P557" s="1"/>
      <c r="Q557" s="1"/>
      <c r="R557" s="1"/>
      <c r="S557" s="1"/>
    </row>
    <row r="558" spans="1:19" ht="23" customHeight="1">
      <c r="A558" s="1" t="s">
        <v>615</v>
      </c>
      <c r="B558" s="4">
        <v>46044</v>
      </c>
      <c r="C558" s="1" t="s">
        <v>18</v>
      </c>
      <c r="D558" s="1" t="s">
        <v>65</v>
      </c>
      <c r="E558" s="5">
        <v>28000</v>
      </c>
      <c r="F558" s="1">
        <v>0</v>
      </c>
      <c r="G558" s="4">
        <v>46046</v>
      </c>
      <c r="H558" s="4">
        <v>46049</v>
      </c>
      <c r="I558" s="4">
        <v>46052</v>
      </c>
      <c r="J558" s="4"/>
      <c r="K558" s="1" t="s">
        <v>63</v>
      </c>
      <c r="L558" s="1"/>
      <c r="M558" s="1"/>
      <c r="N558" s="1"/>
      <c r="O558" s="1"/>
      <c r="P558" s="1"/>
      <c r="Q558" s="1"/>
      <c r="R558" s="1"/>
      <c r="S558" s="1"/>
    </row>
    <row r="559" spans="1:19" ht="23" customHeight="1">
      <c r="A559" s="1" t="s">
        <v>616</v>
      </c>
      <c r="B559" s="4">
        <v>46110</v>
      </c>
      <c r="C559" s="1" t="s">
        <v>19</v>
      </c>
      <c r="D559" s="1" t="s">
        <v>54</v>
      </c>
      <c r="E559" s="5">
        <v>46000</v>
      </c>
      <c r="F559" s="1">
        <v>0</v>
      </c>
      <c r="G559" s="4">
        <v>46111</v>
      </c>
      <c r="H559" s="4"/>
      <c r="I559" s="4"/>
      <c r="J559" s="4"/>
      <c r="K559" s="1" t="s">
        <v>69</v>
      </c>
      <c r="L559" s="1"/>
      <c r="M559" s="1"/>
      <c r="N559" s="1"/>
      <c r="O559" s="1"/>
      <c r="P559" s="1"/>
      <c r="Q559" s="1"/>
      <c r="R559" s="1"/>
      <c r="S559" s="1"/>
    </row>
    <row r="560" spans="1:19" ht="23" customHeight="1">
      <c r="A560" s="1" t="s">
        <v>617</v>
      </c>
      <c r="B560" s="4">
        <v>46047</v>
      </c>
      <c r="C560" s="1" t="s">
        <v>18</v>
      </c>
      <c r="D560" s="1" t="s">
        <v>59</v>
      </c>
      <c r="E560" s="5">
        <v>50000</v>
      </c>
      <c r="F560" s="1">
        <v>0</v>
      </c>
      <c r="G560" s="4">
        <v>46047</v>
      </c>
      <c r="H560" s="4">
        <v>46049</v>
      </c>
      <c r="I560" s="4">
        <v>46051</v>
      </c>
      <c r="J560" s="4"/>
      <c r="K560" s="1" t="s">
        <v>63</v>
      </c>
      <c r="L560" s="1"/>
      <c r="M560" s="1"/>
      <c r="N560" s="1"/>
      <c r="O560" s="1"/>
      <c r="P560" s="1"/>
      <c r="Q560" s="1"/>
      <c r="R560" s="1"/>
      <c r="S560" s="1"/>
    </row>
    <row r="561" spans="1:19" ht="23" customHeight="1">
      <c r="A561" s="1" t="s">
        <v>618</v>
      </c>
      <c r="B561" s="4">
        <v>46028</v>
      </c>
      <c r="C561" s="1" t="s">
        <v>18</v>
      </c>
      <c r="D561" s="1" t="s">
        <v>65</v>
      </c>
      <c r="E561" s="5">
        <v>12000</v>
      </c>
      <c r="F561" s="1">
        <v>0</v>
      </c>
      <c r="G561" s="4">
        <v>46028</v>
      </c>
      <c r="H561" s="4">
        <v>46030</v>
      </c>
      <c r="I561" s="4">
        <v>46031</v>
      </c>
      <c r="J561" s="4"/>
      <c r="K561" s="1" t="s">
        <v>63</v>
      </c>
      <c r="L561" s="1"/>
      <c r="M561" s="1"/>
      <c r="N561" s="1"/>
      <c r="O561" s="1"/>
      <c r="P561" s="1"/>
      <c r="Q561" s="1"/>
      <c r="R561" s="1"/>
      <c r="S561" s="1"/>
    </row>
    <row r="562" spans="1:19" ht="23" customHeight="1">
      <c r="A562" s="1" t="s">
        <v>619</v>
      </c>
      <c r="B562" s="4">
        <v>46046</v>
      </c>
      <c r="C562" s="1" t="s">
        <v>18</v>
      </c>
      <c r="D562" s="1" t="s">
        <v>65</v>
      </c>
      <c r="E562" s="5">
        <v>7000</v>
      </c>
      <c r="F562" s="1">
        <v>1</v>
      </c>
      <c r="G562" s="4">
        <v>46054</v>
      </c>
      <c r="H562" s="4">
        <v>46056</v>
      </c>
      <c r="I562" s="4">
        <v>46057</v>
      </c>
      <c r="J562" s="4"/>
      <c r="K562" s="1" t="s">
        <v>55</v>
      </c>
      <c r="L562" s="1"/>
      <c r="M562" s="1"/>
      <c r="N562" s="1"/>
      <c r="O562" s="1"/>
      <c r="P562" s="1"/>
      <c r="Q562" s="1"/>
      <c r="R562" s="1"/>
      <c r="S562" s="1"/>
    </row>
    <row r="563" spans="1:19" ht="23" customHeight="1">
      <c r="A563" s="1" t="s">
        <v>620</v>
      </c>
      <c r="B563" s="4">
        <v>46074</v>
      </c>
      <c r="C563" s="1" t="s">
        <v>18</v>
      </c>
      <c r="D563" s="1" t="s">
        <v>71</v>
      </c>
      <c r="E563" s="5">
        <v>35000</v>
      </c>
      <c r="F563" s="1">
        <v>1</v>
      </c>
      <c r="G563" s="4">
        <v>46080</v>
      </c>
      <c r="H563" s="4">
        <v>46086</v>
      </c>
      <c r="I563" s="4">
        <v>46087</v>
      </c>
      <c r="J563" s="4"/>
      <c r="K563" s="1" t="s">
        <v>55</v>
      </c>
      <c r="L563" s="1"/>
      <c r="M563" s="1"/>
      <c r="N563" s="1"/>
      <c r="O563" s="1"/>
      <c r="P563" s="1"/>
      <c r="Q563" s="1"/>
      <c r="R563" s="1"/>
      <c r="S563" s="1"/>
    </row>
    <row r="564" spans="1:19" ht="23" customHeight="1">
      <c r="A564" s="1" t="s">
        <v>621</v>
      </c>
      <c r="B564" s="4">
        <v>46030</v>
      </c>
      <c r="C564" s="1" t="s">
        <v>19</v>
      </c>
      <c r="D564" s="1" t="s">
        <v>54</v>
      </c>
      <c r="E564" s="5">
        <v>6000</v>
      </c>
      <c r="F564" s="1">
        <v>1</v>
      </c>
      <c r="G564" s="4">
        <v>46037</v>
      </c>
      <c r="H564" s="4">
        <v>46039</v>
      </c>
      <c r="I564" s="4">
        <v>46040</v>
      </c>
      <c r="J564" s="4"/>
      <c r="K564" s="1" t="s">
        <v>55</v>
      </c>
      <c r="L564" s="1"/>
      <c r="M564" s="1"/>
      <c r="N564" s="1"/>
      <c r="O564" s="1"/>
      <c r="P564" s="1"/>
      <c r="Q564" s="1"/>
      <c r="R564" s="1"/>
      <c r="S564" s="1"/>
    </row>
    <row r="565" spans="1:19" ht="23" customHeight="1">
      <c r="A565" s="1" t="s">
        <v>622</v>
      </c>
      <c r="B565" s="4">
        <v>46043</v>
      </c>
      <c r="C565" s="1" t="s">
        <v>19</v>
      </c>
      <c r="D565" s="1" t="s">
        <v>54</v>
      </c>
      <c r="E565" s="5">
        <v>22000</v>
      </c>
      <c r="F565" s="1">
        <v>0</v>
      </c>
      <c r="G565" s="4">
        <v>46044</v>
      </c>
      <c r="H565" s="4">
        <v>46047</v>
      </c>
      <c r="I565" s="4">
        <v>46050</v>
      </c>
      <c r="J565" s="4"/>
      <c r="K565" s="1" t="s">
        <v>55</v>
      </c>
      <c r="L565" s="1"/>
      <c r="M565" s="1"/>
      <c r="N565" s="1"/>
      <c r="O565" s="1"/>
      <c r="P565" s="1"/>
      <c r="Q565" s="1"/>
      <c r="R565" s="1"/>
      <c r="S565" s="1"/>
    </row>
    <row r="566" spans="1:19" ht="23" customHeight="1">
      <c r="A566" s="1" t="s">
        <v>623</v>
      </c>
      <c r="B566" s="4">
        <v>46078</v>
      </c>
      <c r="C566" s="1" t="s">
        <v>18</v>
      </c>
      <c r="D566" s="1" t="s">
        <v>65</v>
      </c>
      <c r="E566" s="5">
        <v>30000</v>
      </c>
      <c r="F566" s="1">
        <v>1</v>
      </c>
      <c r="G566" s="4">
        <v>46084</v>
      </c>
      <c r="H566" s="4">
        <v>46085</v>
      </c>
      <c r="I566" s="4">
        <v>46087</v>
      </c>
      <c r="J566" s="4"/>
      <c r="K566" s="1" t="s">
        <v>55</v>
      </c>
      <c r="L566" s="1"/>
      <c r="M566" s="1"/>
      <c r="N566" s="1"/>
      <c r="O566" s="1"/>
      <c r="P566" s="1"/>
      <c r="Q566" s="1"/>
      <c r="R566" s="1"/>
      <c r="S566" s="1"/>
    </row>
    <row r="567" spans="1:19" ht="23" customHeight="1">
      <c r="A567" s="1" t="s">
        <v>624</v>
      </c>
      <c r="B567" s="4">
        <v>46080</v>
      </c>
      <c r="C567" s="1" t="s">
        <v>18</v>
      </c>
      <c r="D567" s="1" t="s">
        <v>65</v>
      </c>
      <c r="E567" s="5">
        <v>13000</v>
      </c>
      <c r="F567" s="1">
        <v>0</v>
      </c>
      <c r="G567" s="4">
        <v>46081</v>
      </c>
      <c r="H567" s="4">
        <v>46085</v>
      </c>
      <c r="I567" s="4">
        <v>46087</v>
      </c>
      <c r="J567" s="4"/>
      <c r="K567" s="1" t="s">
        <v>63</v>
      </c>
      <c r="L567" s="1"/>
      <c r="M567" s="1"/>
      <c r="N567" s="1"/>
      <c r="O567" s="1"/>
      <c r="P567" s="1"/>
      <c r="Q567" s="1"/>
      <c r="R567" s="1"/>
      <c r="S567" s="1"/>
    </row>
    <row r="568" spans="1:19" ht="23" customHeight="1">
      <c r="A568" s="1" t="s">
        <v>625</v>
      </c>
      <c r="B568" s="4">
        <v>46048</v>
      </c>
      <c r="C568" s="1" t="s">
        <v>18</v>
      </c>
      <c r="D568" s="1" t="s">
        <v>65</v>
      </c>
      <c r="E568" s="5">
        <v>23000</v>
      </c>
      <c r="F568" s="1">
        <v>1</v>
      </c>
      <c r="G568" s="4">
        <v>46054</v>
      </c>
      <c r="H568" s="4">
        <v>46060</v>
      </c>
      <c r="I568" s="4">
        <v>46061</v>
      </c>
      <c r="J568" s="4"/>
      <c r="K568" s="1" t="s">
        <v>55</v>
      </c>
      <c r="L568" s="1"/>
      <c r="M568" s="1"/>
      <c r="N568" s="1"/>
      <c r="O568" s="1"/>
      <c r="P568" s="1"/>
      <c r="Q568" s="1"/>
      <c r="R568" s="1"/>
      <c r="S568" s="1"/>
    </row>
    <row r="569" spans="1:19" ht="23" customHeight="1">
      <c r="A569" s="1" t="s">
        <v>626</v>
      </c>
      <c r="B569" s="4">
        <v>46036</v>
      </c>
      <c r="C569" s="1" t="s">
        <v>19</v>
      </c>
      <c r="D569" s="1" t="s">
        <v>54</v>
      </c>
      <c r="E569" s="5">
        <v>26000</v>
      </c>
      <c r="F569" s="1">
        <v>0</v>
      </c>
      <c r="G569" s="4">
        <v>46036</v>
      </c>
      <c r="H569" s="4">
        <v>46039</v>
      </c>
      <c r="I569" s="4">
        <v>46042</v>
      </c>
      <c r="J569" s="4"/>
      <c r="K569" s="1" t="s">
        <v>63</v>
      </c>
      <c r="L569" s="1"/>
      <c r="M569" s="1"/>
      <c r="N569" s="1"/>
      <c r="O569" s="1"/>
      <c r="P569" s="1"/>
      <c r="Q569" s="1"/>
      <c r="R569" s="1"/>
      <c r="S569" s="1"/>
    </row>
    <row r="570" spans="1:19" ht="23" customHeight="1">
      <c r="A570" s="1" t="s">
        <v>627</v>
      </c>
      <c r="B570" s="4">
        <v>46038</v>
      </c>
      <c r="C570" s="1" t="s">
        <v>18</v>
      </c>
      <c r="D570" s="1" t="s">
        <v>59</v>
      </c>
      <c r="E570" s="5">
        <v>32000</v>
      </c>
      <c r="F570" s="1">
        <v>0</v>
      </c>
      <c r="G570" s="4">
        <v>46039</v>
      </c>
      <c r="H570" s="4">
        <v>46042</v>
      </c>
      <c r="I570" s="4">
        <v>46045</v>
      </c>
      <c r="J570" s="4"/>
      <c r="K570" s="1" t="s">
        <v>55</v>
      </c>
      <c r="L570" s="1"/>
      <c r="M570" s="1"/>
      <c r="N570" s="1"/>
      <c r="O570" s="1"/>
      <c r="P570" s="1"/>
      <c r="Q570" s="1"/>
      <c r="R570" s="1"/>
      <c r="S570" s="1"/>
    </row>
    <row r="571" spans="1:19" ht="23" customHeight="1">
      <c r="A571" s="1" t="s">
        <v>628</v>
      </c>
      <c r="B571" s="4">
        <v>46094</v>
      </c>
      <c r="C571" s="1" t="s">
        <v>18</v>
      </c>
      <c r="D571" s="1" t="s">
        <v>59</v>
      </c>
      <c r="E571" s="5">
        <v>11000</v>
      </c>
      <c r="F571" s="1">
        <v>1</v>
      </c>
      <c r="G571" s="4">
        <v>46102</v>
      </c>
      <c r="H571" s="4">
        <v>46108</v>
      </c>
      <c r="I571" s="4">
        <v>46109</v>
      </c>
      <c r="J571" s="4"/>
      <c r="K571" s="1" t="s">
        <v>55</v>
      </c>
      <c r="L571" s="1"/>
      <c r="M571" s="1"/>
      <c r="N571" s="1"/>
      <c r="O571" s="1"/>
      <c r="P571" s="1"/>
      <c r="Q571" s="1"/>
      <c r="R571" s="1"/>
      <c r="S571" s="1"/>
    </row>
    <row r="572" spans="1:19" ht="23" customHeight="1">
      <c r="A572" s="1" t="s">
        <v>629</v>
      </c>
      <c r="B572" s="4">
        <v>46050</v>
      </c>
      <c r="C572" s="1" t="s">
        <v>19</v>
      </c>
      <c r="D572" s="1" t="s">
        <v>54</v>
      </c>
      <c r="E572" s="5">
        <v>42000</v>
      </c>
      <c r="F572" s="1">
        <v>0</v>
      </c>
      <c r="G572" s="4">
        <v>46051</v>
      </c>
      <c r="H572" s="4">
        <v>46054</v>
      </c>
      <c r="I572" s="4">
        <v>46057</v>
      </c>
      <c r="J572" s="4"/>
      <c r="K572" s="1" t="s">
        <v>55</v>
      </c>
      <c r="L572" s="1"/>
      <c r="M572" s="1"/>
      <c r="N572" s="1"/>
      <c r="O572" s="1"/>
      <c r="P572" s="1"/>
      <c r="Q572" s="1"/>
      <c r="R572" s="1"/>
      <c r="S572" s="1"/>
    </row>
    <row r="573" spans="1:19" ht="23" customHeight="1">
      <c r="A573" s="1" t="s">
        <v>630</v>
      </c>
      <c r="B573" s="4">
        <v>46112</v>
      </c>
      <c r="C573" s="1" t="s">
        <v>18</v>
      </c>
      <c r="D573" s="1" t="s">
        <v>62</v>
      </c>
      <c r="E573" s="5">
        <v>16000</v>
      </c>
      <c r="F573" s="1">
        <v>0</v>
      </c>
      <c r="G573" s="4"/>
      <c r="H573" s="4"/>
      <c r="I573" s="4"/>
      <c r="J573" s="4"/>
      <c r="K573" s="1" t="s">
        <v>69</v>
      </c>
      <c r="L573" s="1"/>
      <c r="M573" s="1"/>
      <c r="N573" s="1"/>
      <c r="O573" s="1"/>
      <c r="P573" s="1"/>
      <c r="Q573" s="1"/>
      <c r="R573" s="1"/>
      <c r="S573" s="1"/>
    </row>
    <row r="574" spans="1:19" ht="23" customHeight="1">
      <c r="A574" s="1" t="s">
        <v>631</v>
      </c>
      <c r="B574" s="4">
        <v>46032</v>
      </c>
      <c r="C574" s="1" t="s">
        <v>19</v>
      </c>
      <c r="D574" s="1" t="s">
        <v>54</v>
      </c>
      <c r="E574" s="5">
        <v>36000</v>
      </c>
      <c r="F574" s="1">
        <v>1</v>
      </c>
      <c r="G574" s="4">
        <v>46037</v>
      </c>
      <c r="H574" s="4">
        <v>46043</v>
      </c>
      <c r="I574" s="4">
        <v>46046</v>
      </c>
      <c r="J574" s="4"/>
      <c r="K574" s="1" t="s">
        <v>63</v>
      </c>
      <c r="L574" s="1"/>
      <c r="M574" s="1"/>
      <c r="N574" s="1"/>
      <c r="O574" s="1"/>
      <c r="P574" s="1"/>
      <c r="Q574" s="1"/>
      <c r="R574" s="1"/>
      <c r="S574" s="1"/>
    </row>
    <row r="575" spans="1:19" ht="23" customHeight="1">
      <c r="A575" s="1" t="s">
        <v>632</v>
      </c>
      <c r="B575" s="4">
        <v>46048</v>
      </c>
      <c r="C575" s="1" t="s">
        <v>18</v>
      </c>
      <c r="D575" s="1" t="s">
        <v>62</v>
      </c>
      <c r="E575" s="5">
        <v>34000</v>
      </c>
      <c r="F575" s="1">
        <v>1</v>
      </c>
      <c r="G575" s="4">
        <v>46058</v>
      </c>
      <c r="H575" s="4">
        <v>46063</v>
      </c>
      <c r="I575" s="4">
        <v>46064</v>
      </c>
      <c r="J575" s="4"/>
      <c r="K575" s="1" t="s">
        <v>55</v>
      </c>
      <c r="L575" s="1"/>
      <c r="M575" s="1"/>
      <c r="N575" s="1"/>
      <c r="O575" s="1"/>
      <c r="P575" s="1"/>
      <c r="Q575" s="1"/>
      <c r="R575" s="1"/>
      <c r="S575" s="1"/>
    </row>
    <row r="576" spans="1:19" ht="23" customHeight="1">
      <c r="A576" s="1" t="s">
        <v>633</v>
      </c>
      <c r="B576" s="4">
        <v>46052</v>
      </c>
      <c r="C576" s="1" t="s">
        <v>19</v>
      </c>
      <c r="D576" s="1" t="s">
        <v>54</v>
      </c>
      <c r="E576" s="5">
        <v>12000</v>
      </c>
      <c r="F576" s="1">
        <v>1</v>
      </c>
      <c r="G576" s="4">
        <v>46058</v>
      </c>
      <c r="H576" s="4">
        <v>46059</v>
      </c>
      <c r="I576" s="4">
        <v>46060</v>
      </c>
      <c r="J576" s="4"/>
      <c r="K576" s="1" t="s">
        <v>55</v>
      </c>
      <c r="L576" s="1"/>
      <c r="M576" s="1"/>
      <c r="N576" s="1"/>
      <c r="O576" s="1"/>
      <c r="P576" s="1"/>
      <c r="Q576" s="1"/>
      <c r="R576" s="1"/>
      <c r="S576" s="1"/>
    </row>
    <row r="577" spans="1:19" ht="23" customHeight="1">
      <c r="A577" s="1" t="s">
        <v>634</v>
      </c>
      <c r="B577" s="4">
        <v>46063</v>
      </c>
      <c r="C577" s="1" t="s">
        <v>18</v>
      </c>
      <c r="D577" s="1" t="s">
        <v>59</v>
      </c>
      <c r="E577" s="5">
        <v>46000</v>
      </c>
      <c r="F577" s="1">
        <v>1</v>
      </c>
      <c r="G577" s="4">
        <v>46072</v>
      </c>
      <c r="H577" s="4">
        <v>46078</v>
      </c>
      <c r="I577" s="4">
        <v>46080</v>
      </c>
      <c r="J577" s="4"/>
      <c r="K577" s="1" t="s">
        <v>55</v>
      </c>
      <c r="L577" s="1"/>
      <c r="M577" s="1"/>
      <c r="N577" s="1"/>
      <c r="O577" s="1"/>
      <c r="P577" s="1"/>
      <c r="Q577" s="1"/>
      <c r="R577" s="1"/>
      <c r="S577" s="1"/>
    </row>
    <row r="578" spans="1:19" ht="23" customHeight="1">
      <c r="A578" s="1" t="s">
        <v>635</v>
      </c>
      <c r="B578" s="4">
        <v>46098</v>
      </c>
      <c r="C578" s="1" t="s">
        <v>18</v>
      </c>
      <c r="D578" s="1" t="s">
        <v>62</v>
      </c>
      <c r="E578" s="5">
        <v>25000</v>
      </c>
      <c r="F578" s="1">
        <v>1</v>
      </c>
      <c r="G578" s="4">
        <v>46104</v>
      </c>
      <c r="H578" s="4">
        <v>46108</v>
      </c>
      <c r="I578" s="4">
        <v>46111</v>
      </c>
      <c r="J578" s="4"/>
      <c r="K578" s="1" t="s">
        <v>55</v>
      </c>
      <c r="L578" s="1"/>
      <c r="M578" s="1"/>
      <c r="N578" s="1"/>
      <c r="O578" s="1"/>
      <c r="P578" s="1"/>
      <c r="Q578" s="1"/>
      <c r="R578" s="1"/>
      <c r="S578" s="1"/>
    </row>
    <row r="579" spans="1:19" ht="23" customHeight="1">
      <c r="A579" s="1" t="s">
        <v>636</v>
      </c>
      <c r="B579" s="4">
        <v>46091</v>
      </c>
      <c r="C579" s="1" t="s">
        <v>18</v>
      </c>
      <c r="D579" s="1" t="s">
        <v>59</v>
      </c>
      <c r="E579" s="5">
        <v>27000</v>
      </c>
      <c r="F579" s="1">
        <v>0</v>
      </c>
      <c r="G579" s="4">
        <v>46091</v>
      </c>
      <c r="H579" s="4">
        <v>46095</v>
      </c>
      <c r="I579" s="4">
        <v>46098</v>
      </c>
      <c r="J579" s="4"/>
      <c r="K579" s="1" t="s">
        <v>55</v>
      </c>
      <c r="L579" s="1"/>
      <c r="M579" s="1"/>
      <c r="N579" s="1"/>
      <c r="O579" s="1"/>
      <c r="P579" s="1"/>
      <c r="Q579" s="1"/>
      <c r="R579" s="1"/>
      <c r="S579" s="1"/>
    </row>
    <row r="580" spans="1:19" ht="23" customHeight="1">
      <c r="A580" s="1" t="s">
        <v>637</v>
      </c>
      <c r="B580" s="4">
        <v>46083</v>
      </c>
      <c r="C580" s="1" t="s">
        <v>19</v>
      </c>
      <c r="D580" s="1" t="s">
        <v>54</v>
      </c>
      <c r="E580" s="5">
        <v>45000</v>
      </c>
      <c r="F580" s="1">
        <v>0</v>
      </c>
      <c r="G580" s="4">
        <v>46085</v>
      </c>
      <c r="H580" s="4">
        <v>46091</v>
      </c>
      <c r="I580" s="4">
        <v>46092</v>
      </c>
      <c r="J580" s="4"/>
      <c r="K580" s="1" t="s">
        <v>55</v>
      </c>
      <c r="L580" s="1"/>
      <c r="M580" s="1"/>
      <c r="N580" s="1"/>
      <c r="O580" s="1"/>
      <c r="P580" s="1"/>
      <c r="Q580" s="1"/>
      <c r="R580" s="1"/>
      <c r="S580" s="1"/>
    </row>
    <row r="581" spans="1:19" ht="23" customHeight="1">
      <c r="A581" s="1" t="s">
        <v>638</v>
      </c>
      <c r="B581" s="4">
        <v>46076</v>
      </c>
      <c r="C581" s="1" t="s">
        <v>18</v>
      </c>
      <c r="D581" s="1" t="s">
        <v>62</v>
      </c>
      <c r="E581" s="5">
        <v>44000</v>
      </c>
      <c r="F581" s="1">
        <v>0</v>
      </c>
      <c r="G581" s="4">
        <v>46077</v>
      </c>
      <c r="H581" s="4">
        <v>46085</v>
      </c>
      <c r="I581" s="4">
        <v>46088</v>
      </c>
      <c r="J581" s="4"/>
      <c r="K581" s="1" t="s">
        <v>55</v>
      </c>
      <c r="L581" s="1"/>
      <c r="M581" s="1"/>
      <c r="N581" s="1"/>
      <c r="O581" s="1"/>
      <c r="P581" s="1"/>
      <c r="Q581" s="1"/>
      <c r="R581" s="1"/>
      <c r="S581" s="1"/>
    </row>
    <row r="582" spans="1:19" ht="23" customHeight="1">
      <c r="A582" s="1" t="s">
        <v>639</v>
      </c>
      <c r="B582" s="4">
        <v>46108</v>
      </c>
      <c r="C582" s="1" t="s">
        <v>19</v>
      </c>
      <c r="D582" s="1" t="s">
        <v>54</v>
      </c>
      <c r="E582" s="5">
        <v>32000</v>
      </c>
      <c r="F582" s="1">
        <v>0</v>
      </c>
      <c r="G582" s="4">
        <v>46108</v>
      </c>
      <c r="H582" s="4"/>
      <c r="I582" s="4"/>
      <c r="J582" s="4"/>
      <c r="K582" s="1" t="s">
        <v>69</v>
      </c>
      <c r="L582" s="1"/>
      <c r="M582" s="1"/>
      <c r="N582" s="1"/>
      <c r="O582" s="1"/>
      <c r="P582" s="1"/>
      <c r="Q582" s="1"/>
      <c r="R582" s="1"/>
      <c r="S582" s="1"/>
    </row>
    <row r="583" spans="1:19" ht="23" customHeight="1">
      <c r="A583" s="1" t="s">
        <v>640</v>
      </c>
      <c r="B583" s="4">
        <v>46057</v>
      </c>
      <c r="C583" s="1" t="s">
        <v>19</v>
      </c>
      <c r="D583" s="1" t="s">
        <v>54</v>
      </c>
      <c r="E583" s="5">
        <v>24000</v>
      </c>
      <c r="F583" s="1">
        <v>1</v>
      </c>
      <c r="G583" s="4">
        <v>46066</v>
      </c>
      <c r="H583" s="4">
        <v>46067</v>
      </c>
      <c r="I583" s="4">
        <v>46070</v>
      </c>
      <c r="J583" s="4"/>
      <c r="K583" s="1" t="s">
        <v>55</v>
      </c>
      <c r="L583" s="1"/>
      <c r="M583" s="1"/>
      <c r="N583" s="1"/>
      <c r="O583" s="1"/>
      <c r="P583" s="1"/>
      <c r="Q583" s="1"/>
      <c r="R583" s="1"/>
      <c r="S583" s="1"/>
    </row>
    <row r="584" spans="1:19" ht="23" customHeight="1">
      <c r="A584" s="1" t="s">
        <v>641</v>
      </c>
      <c r="B584" s="4">
        <v>46057</v>
      </c>
      <c r="C584" s="1" t="s">
        <v>19</v>
      </c>
      <c r="D584" s="1" t="s">
        <v>54</v>
      </c>
      <c r="E584" s="5">
        <v>35000</v>
      </c>
      <c r="F584" s="1">
        <v>0</v>
      </c>
      <c r="G584" s="4">
        <v>46058</v>
      </c>
      <c r="H584" s="4">
        <v>46063</v>
      </c>
      <c r="I584" s="4">
        <v>46064</v>
      </c>
      <c r="J584" s="4"/>
      <c r="K584" s="1" t="s">
        <v>55</v>
      </c>
      <c r="L584" s="1"/>
      <c r="M584" s="1"/>
      <c r="N584" s="1"/>
      <c r="O584" s="1"/>
      <c r="P584" s="1"/>
      <c r="Q584" s="1"/>
      <c r="R584" s="1"/>
      <c r="S584" s="1"/>
    </row>
    <row r="585" spans="1:19" ht="23" customHeight="1">
      <c r="A585" s="1" t="s">
        <v>642</v>
      </c>
      <c r="B585" s="4">
        <v>46101</v>
      </c>
      <c r="C585" s="1" t="s">
        <v>19</v>
      </c>
      <c r="D585" s="1" t="s">
        <v>54</v>
      </c>
      <c r="E585" s="5">
        <v>29000</v>
      </c>
      <c r="F585" s="1">
        <v>1</v>
      </c>
      <c r="G585" s="4">
        <v>46107</v>
      </c>
      <c r="H585" s="4">
        <v>46111</v>
      </c>
      <c r="I585" s="4">
        <v>46112</v>
      </c>
      <c r="J585" s="4"/>
      <c r="K585" s="1" t="s">
        <v>55</v>
      </c>
      <c r="L585" s="1"/>
      <c r="M585" s="1"/>
      <c r="N585" s="1"/>
      <c r="O585" s="1"/>
      <c r="P585" s="1"/>
      <c r="Q585" s="1"/>
      <c r="R585" s="1"/>
      <c r="S585" s="1"/>
    </row>
    <row r="586" spans="1:19" ht="23" customHeight="1">
      <c r="A586" s="1" t="s">
        <v>643</v>
      </c>
      <c r="B586" s="4">
        <v>46062</v>
      </c>
      <c r="C586" s="1" t="s">
        <v>18</v>
      </c>
      <c r="D586" s="1" t="s">
        <v>71</v>
      </c>
      <c r="E586" s="5">
        <v>22000</v>
      </c>
      <c r="F586" s="1">
        <v>0</v>
      </c>
      <c r="G586" s="4">
        <v>46062</v>
      </c>
      <c r="H586" s="4">
        <v>46066</v>
      </c>
      <c r="I586" s="4">
        <v>46068</v>
      </c>
      <c r="J586" s="4"/>
      <c r="K586" s="1" t="s">
        <v>55</v>
      </c>
      <c r="L586" s="1"/>
      <c r="M586" s="1"/>
      <c r="N586" s="1"/>
      <c r="O586" s="1"/>
      <c r="P586" s="1"/>
      <c r="Q586" s="1"/>
      <c r="R586" s="1"/>
      <c r="S586" s="1"/>
    </row>
    <row r="587" spans="1:19" ht="23" customHeight="1">
      <c r="A587" s="1" t="s">
        <v>644</v>
      </c>
      <c r="B587" s="4">
        <v>46050</v>
      </c>
      <c r="C587" s="1" t="s">
        <v>18</v>
      </c>
      <c r="D587" s="1" t="s">
        <v>65</v>
      </c>
      <c r="E587" s="5">
        <v>17000</v>
      </c>
      <c r="F587" s="1">
        <v>0</v>
      </c>
      <c r="G587" s="4">
        <v>46052</v>
      </c>
      <c r="H587" s="4">
        <v>46056</v>
      </c>
      <c r="I587" s="4">
        <v>46059</v>
      </c>
      <c r="J587" s="4"/>
      <c r="K587" s="1" t="s">
        <v>63</v>
      </c>
      <c r="L587" s="1"/>
      <c r="M587" s="1"/>
      <c r="N587" s="1"/>
      <c r="O587" s="1"/>
      <c r="P587" s="1"/>
      <c r="Q587" s="1"/>
      <c r="R587" s="1"/>
      <c r="S587" s="1"/>
    </row>
    <row r="588" spans="1:19" ht="23" customHeight="1">
      <c r="A588" s="1" t="s">
        <v>645</v>
      </c>
      <c r="B588" s="4">
        <v>46092</v>
      </c>
      <c r="C588" s="1" t="s">
        <v>19</v>
      </c>
      <c r="D588" s="1" t="s">
        <v>54</v>
      </c>
      <c r="E588" s="5">
        <v>8000</v>
      </c>
      <c r="F588" s="1">
        <v>0</v>
      </c>
      <c r="G588" s="4">
        <v>46094</v>
      </c>
      <c r="H588" s="4">
        <v>46097</v>
      </c>
      <c r="I588" s="4">
        <v>46100</v>
      </c>
      <c r="J588" s="4"/>
      <c r="K588" s="1" t="s">
        <v>63</v>
      </c>
      <c r="L588" s="1"/>
      <c r="M588" s="1"/>
      <c r="N588" s="1"/>
      <c r="O588" s="1"/>
      <c r="P588" s="1"/>
      <c r="Q588" s="1"/>
      <c r="R588" s="1"/>
      <c r="S588" s="1"/>
    </row>
    <row r="589" spans="1:19" ht="23" customHeight="1">
      <c r="A589" s="1" t="s">
        <v>646</v>
      </c>
      <c r="B589" s="4">
        <v>46027</v>
      </c>
      <c r="C589" s="1" t="s">
        <v>19</v>
      </c>
      <c r="D589" s="1" t="s">
        <v>54</v>
      </c>
      <c r="E589" s="5">
        <v>27000</v>
      </c>
      <c r="F589" s="1">
        <v>0</v>
      </c>
      <c r="G589" s="4">
        <v>46027</v>
      </c>
      <c r="H589" s="4">
        <v>46029</v>
      </c>
      <c r="I589" s="4">
        <v>46032</v>
      </c>
      <c r="J589" s="4"/>
      <c r="K589" s="1" t="s">
        <v>63</v>
      </c>
      <c r="L589" s="1"/>
      <c r="M589" s="1"/>
      <c r="N589" s="1"/>
      <c r="O589" s="1"/>
      <c r="P589" s="1"/>
      <c r="Q589" s="1"/>
      <c r="R589" s="1"/>
      <c r="S589" s="1"/>
    </row>
    <row r="590" spans="1:19" ht="23" customHeight="1">
      <c r="A590" s="1" t="s">
        <v>647</v>
      </c>
      <c r="B590" s="4">
        <v>46045</v>
      </c>
      <c r="C590" s="1" t="s">
        <v>18</v>
      </c>
      <c r="D590" s="1" t="s">
        <v>59</v>
      </c>
      <c r="E590" s="5">
        <v>22000</v>
      </c>
      <c r="F590" s="1">
        <v>0</v>
      </c>
      <c r="G590" s="4">
        <v>46046</v>
      </c>
      <c r="H590" s="4">
        <v>46049</v>
      </c>
      <c r="I590" s="4">
        <v>46052</v>
      </c>
      <c r="J590" s="4"/>
      <c r="K590" s="1" t="s">
        <v>63</v>
      </c>
      <c r="L590" s="1"/>
      <c r="M590" s="1"/>
      <c r="N590" s="1"/>
      <c r="O590" s="1"/>
      <c r="P590" s="1"/>
      <c r="Q590" s="1"/>
      <c r="R590" s="1"/>
      <c r="S590" s="1"/>
    </row>
    <row r="591" spans="1:19" ht="23" customHeight="1">
      <c r="A591" s="1" t="s">
        <v>648</v>
      </c>
      <c r="B591" s="4">
        <v>46088</v>
      </c>
      <c r="C591" s="1" t="s">
        <v>19</v>
      </c>
      <c r="D591" s="1" t="s">
        <v>54</v>
      </c>
      <c r="E591" s="5">
        <v>10000</v>
      </c>
      <c r="F591" s="1">
        <v>0</v>
      </c>
      <c r="G591" s="4">
        <v>46089</v>
      </c>
      <c r="H591" s="4">
        <v>46090</v>
      </c>
      <c r="I591" s="4">
        <v>46093</v>
      </c>
      <c r="J591" s="4"/>
      <c r="K591" s="1" t="s">
        <v>63</v>
      </c>
      <c r="L591" s="1"/>
      <c r="M591" s="1"/>
      <c r="N591" s="1"/>
      <c r="O591" s="1"/>
      <c r="P591" s="1"/>
      <c r="Q591" s="1"/>
      <c r="R591" s="1"/>
      <c r="S591" s="1"/>
    </row>
    <row r="592" spans="1:19" ht="23" customHeight="1">
      <c r="A592" s="1" t="s">
        <v>649</v>
      </c>
      <c r="B592" s="4">
        <v>46069</v>
      </c>
      <c r="C592" s="1" t="s">
        <v>18</v>
      </c>
      <c r="D592" s="1" t="s">
        <v>59</v>
      </c>
      <c r="E592" s="5">
        <v>39000</v>
      </c>
      <c r="F592" s="1">
        <v>1</v>
      </c>
      <c r="G592" s="4">
        <v>46077</v>
      </c>
      <c r="H592" s="4">
        <v>46082</v>
      </c>
      <c r="I592" s="4">
        <v>46083</v>
      </c>
      <c r="J592" s="4"/>
      <c r="K592" s="1" t="s">
        <v>55</v>
      </c>
      <c r="L592" s="1"/>
      <c r="M592" s="1"/>
      <c r="N592" s="1"/>
      <c r="O592" s="1"/>
      <c r="P592" s="1"/>
      <c r="Q592" s="1"/>
      <c r="R592" s="1"/>
      <c r="S592" s="1"/>
    </row>
    <row r="593" spans="1:19" ht="23" customHeight="1">
      <c r="A593" s="1" t="s">
        <v>650</v>
      </c>
      <c r="B593" s="4">
        <v>46044</v>
      </c>
      <c r="C593" s="1" t="s">
        <v>18</v>
      </c>
      <c r="D593" s="1" t="s">
        <v>59</v>
      </c>
      <c r="E593" s="5">
        <v>42000</v>
      </c>
      <c r="F593" s="1">
        <v>0</v>
      </c>
      <c r="G593" s="4">
        <v>46046</v>
      </c>
      <c r="H593" s="4">
        <v>46047</v>
      </c>
      <c r="I593" s="4">
        <v>46048</v>
      </c>
      <c r="J593" s="4"/>
      <c r="K593" s="1" t="s">
        <v>55</v>
      </c>
      <c r="L593" s="1"/>
      <c r="M593" s="1"/>
      <c r="N593" s="1"/>
      <c r="O593" s="1"/>
      <c r="P593" s="1"/>
      <c r="Q593" s="1"/>
      <c r="R593" s="1"/>
      <c r="S593" s="1"/>
    </row>
    <row r="594" spans="1:19" ht="23" customHeight="1">
      <c r="A594" s="1" t="s">
        <v>651</v>
      </c>
      <c r="B594" s="4">
        <v>46039</v>
      </c>
      <c r="C594" s="1" t="s">
        <v>18</v>
      </c>
      <c r="D594" s="1" t="s">
        <v>71</v>
      </c>
      <c r="E594" s="5">
        <v>30000</v>
      </c>
      <c r="F594" s="1">
        <v>0</v>
      </c>
      <c r="G594" s="4">
        <v>46040</v>
      </c>
      <c r="H594" s="4">
        <v>46043</v>
      </c>
      <c r="I594" s="4">
        <v>46044</v>
      </c>
      <c r="J594" s="4"/>
      <c r="K594" s="1" t="s">
        <v>55</v>
      </c>
      <c r="L594" s="1"/>
      <c r="M594" s="1"/>
      <c r="N594" s="1"/>
      <c r="O594" s="1"/>
      <c r="P594" s="1"/>
      <c r="Q594" s="1"/>
      <c r="R594" s="1"/>
      <c r="S594" s="1"/>
    </row>
    <row r="595" spans="1:19" ht="23" customHeight="1">
      <c r="A595" s="1" t="s">
        <v>652</v>
      </c>
      <c r="B595" s="4">
        <v>46071</v>
      </c>
      <c r="C595" s="1" t="s">
        <v>19</v>
      </c>
      <c r="D595" s="1" t="s">
        <v>54</v>
      </c>
      <c r="E595" s="5">
        <v>50000</v>
      </c>
      <c r="F595" s="1">
        <v>0</v>
      </c>
      <c r="G595" s="4">
        <v>46073</v>
      </c>
      <c r="H595" s="4">
        <v>46076</v>
      </c>
      <c r="I595" s="4">
        <v>46078</v>
      </c>
      <c r="J595" s="4"/>
      <c r="K595" s="1" t="s">
        <v>63</v>
      </c>
      <c r="L595" s="1"/>
      <c r="M595" s="1"/>
      <c r="N595" s="1"/>
      <c r="O595" s="1"/>
      <c r="P595" s="1"/>
      <c r="Q595" s="1"/>
      <c r="R595" s="1"/>
      <c r="S595" s="1"/>
    </row>
    <row r="596" spans="1:19" ht="23" customHeight="1">
      <c r="A596" s="1" t="s">
        <v>653</v>
      </c>
      <c r="B596" s="4">
        <v>46066</v>
      </c>
      <c r="C596" s="1" t="s">
        <v>18</v>
      </c>
      <c r="D596" s="1" t="s">
        <v>65</v>
      </c>
      <c r="E596" s="5">
        <v>20000</v>
      </c>
      <c r="F596" s="1">
        <v>1</v>
      </c>
      <c r="G596" s="4">
        <v>46074</v>
      </c>
      <c r="H596" s="4">
        <v>46077</v>
      </c>
      <c r="I596" s="4">
        <v>46078</v>
      </c>
      <c r="J596" s="4"/>
      <c r="K596" s="1" t="s">
        <v>63</v>
      </c>
      <c r="L596" s="1"/>
      <c r="M596" s="1"/>
      <c r="N596" s="1"/>
      <c r="O596" s="1"/>
      <c r="P596" s="1"/>
      <c r="Q596" s="1"/>
      <c r="R596" s="1"/>
      <c r="S596" s="1"/>
    </row>
    <row r="597" spans="1:19" ht="23" customHeight="1">
      <c r="A597" s="1" t="s">
        <v>654</v>
      </c>
      <c r="B597" s="4">
        <v>46067</v>
      </c>
      <c r="C597" s="1" t="s">
        <v>19</v>
      </c>
      <c r="D597" s="1" t="s">
        <v>54</v>
      </c>
      <c r="E597" s="5">
        <v>22000</v>
      </c>
      <c r="F597" s="1">
        <v>0</v>
      </c>
      <c r="G597" s="4">
        <v>46069</v>
      </c>
      <c r="H597" s="4">
        <v>46075</v>
      </c>
      <c r="I597" s="4">
        <v>46077</v>
      </c>
      <c r="J597" s="4"/>
      <c r="K597" s="1" t="s">
        <v>55</v>
      </c>
      <c r="L597" s="1"/>
      <c r="M597" s="1"/>
      <c r="N597" s="1"/>
      <c r="O597" s="1"/>
      <c r="P597" s="1"/>
      <c r="Q597" s="1"/>
      <c r="R597" s="1"/>
      <c r="S597" s="1"/>
    </row>
    <row r="598" spans="1:19" ht="23" customHeight="1">
      <c r="A598" s="1" t="s">
        <v>655</v>
      </c>
      <c r="B598" s="4">
        <v>46094</v>
      </c>
      <c r="C598" s="1" t="s">
        <v>19</v>
      </c>
      <c r="D598" s="1" t="s">
        <v>54</v>
      </c>
      <c r="E598" s="5">
        <v>17000</v>
      </c>
      <c r="F598" s="1">
        <v>0</v>
      </c>
      <c r="G598" s="4">
        <v>46096</v>
      </c>
      <c r="H598" s="4">
        <v>46102</v>
      </c>
      <c r="I598" s="4">
        <v>46105</v>
      </c>
      <c r="J598" s="4"/>
      <c r="K598" s="1" t="s">
        <v>63</v>
      </c>
      <c r="L598" s="1"/>
      <c r="M598" s="1"/>
      <c r="N598" s="1"/>
      <c r="O598" s="1"/>
      <c r="P598" s="1"/>
      <c r="Q598" s="1"/>
      <c r="R598" s="1"/>
      <c r="S598" s="1"/>
    </row>
    <row r="599" spans="1:19" ht="23" customHeight="1">
      <c r="A599" s="1" t="s">
        <v>656</v>
      </c>
      <c r="B599" s="4">
        <v>46053</v>
      </c>
      <c r="C599" s="1" t="s">
        <v>18</v>
      </c>
      <c r="D599" s="1" t="s">
        <v>65</v>
      </c>
      <c r="E599" s="5">
        <v>48000</v>
      </c>
      <c r="F599" s="1">
        <v>0</v>
      </c>
      <c r="G599" s="4">
        <v>46055</v>
      </c>
      <c r="H599" s="4">
        <v>46057</v>
      </c>
      <c r="I599" s="4">
        <v>46058</v>
      </c>
      <c r="J599" s="4"/>
      <c r="K599" s="1" t="s">
        <v>55</v>
      </c>
      <c r="L599" s="1"/>
      <c r="M599" s="1"/>
      <c r="N599" s="1"/>
      <c r="O599" s="1"/>
      <c r="P599" s="1"/>
      <c r="Q599" s="1"/>
      <c r="R599" s="1"/>
      <c r="S599" s="1"/>
    </row>
    <row r="600" spans="1:19" ht="23" customHeight="1">
      <c r="A600" s="1" t="s">
        <v>657</v>
      </c>
      <c r="B600" s="4">
        <v>46107</v>
      </c>
      <c r="C600" s="1" t="s">
        <v>19</v>
      </c>
      <c r="D600" s="1" t="s">
        <v>54</v>
      </c>
      <c r="E600" s="5">
        <v>8000</v>
      </c>
      <c r="F600" s="1">
        <v>0</v>
      </c>
      <c r="G600" s="4">
        <v>46108</v>
      </c>
      <c r="H600" s="4">
        <v>46110</v>
      </c>
      <c r="I600" s="4">
        <v>46112</v>
      </c>
      <c r="J600" s="4"/>
      <c r="K600" s="1" t="s">
        <v>55</v>
      </c>
      <c r="L600" s="1"/>
      <c r="M600" s="1"/>
      <c r="N600" s="1"/>
      <c r="O600" s="1"/>
      <c r="P600" s="1"/>
      <c r="Q600" s="1"/>
      <c r="R600" s="1"/>
      <c r="S600" s="1"/>
    </row>
    <row r="601" spans="1:19" ht="23" customHeight="1">
      <c r="A601" s="1" t="s">
        <v>658</v>
      </c>
      <c r="B601" s="4">
        <v>46091</v>
      </c>
      <c r="C601" s="1" t="s">
        <v>18</v>
      </c>
      <c r="D601" s="1" t="s">
        <v>65</v>
      </c>
      <c r="E601" s="5">
        <v>25000</v>
      </c>
      <c r="F601" s="1">
        <v>1</v>
      </c>
      <c r="G601" s="4">
        <v>46096</v>
      </c>
      <c r="H601" s="4">
        <v>46101</v>
      </c>
      <c r="I601" s="4">
        <v>46103</v>
      </c>
      <c r="J601" s="4"/>
      <c r="K601" s="1" t="s">
        <v>63</v>
      </c>
      <c r="L601" s="1"/>
      <c r="M601" s="1"/>
      <c r="N601" s="1"/>
      <c r="O601" s="1"/>
      <c r="P601" s="1"/>
      <c r="Q601" s="1"/>
      <c r="R601" s="1"/>
      <c r="S601" s="1"/>
    </row>
    <row r="602" spans="1:19" ht="23" customHeight="1">
      <c r="A602" s="1" t="s">
        <v>659</v>
      </c>
      <c r="B602" s="4">
        <v>46089</v>
      </c>
      <c r="C602" s="1" t="s">
        <v>19</v>
      </c>
      <c r="D602" s="1" t="s">
        <v>54</v>
      </c>
      <c r="E602" s="5">
        <v>30000</v>
      </c>
      <c r="F602" s="1">
        <v>0</v>
      </c>
      <c r="G602" s="4">
        <v>46090</v>
      </c>
      <c r="H602" s="4">
        <v>46093</v>
      </c>
      <c r="I602" s="4">
        <v>46096</v>
      </c>
      <c r="J602" s="4"/>
      <c r="K602" s="1" t="s">
        <v>55</v>
      </c>
      <c r="L602" s="1"/>
      <c r="M602" s="1"/>
      <c r="N602" s="1"/>
      <c r="O602" s="1"/>
      <c r="P602" s="1"/>
      <c r="Q602" s="1"/>
      <c r="R602" s="1"/>
      <c r="S602" s="1"/>
    </row>
    <row r="603" spans="1:19" ht="23" customHeight="1">
      <c r="A603" s="1" t="s">
        <v>660</v>
      </c>
      <c r="B603" s="4">
        <v>46045</v>
      </c>
      <c r="C603" s="1" t="s">
        <v>19</v>
      </c>
      <c r="D603" s="1" t="s">
        <v>54</v>
      </c>
      <c r="E603" s="5">
        <v>46000</v>
      </c>
      <c r="F603" s="1">
        <v>1</v>
      </c>
      <c r="G603" s="4">
        <v>46049</v>
      </c>
      <c r="H603" s="4">
        <v>46053</v>
      </c>
      <c r="I603" s="4">
        <v>46054</v>
      </c>
      <c r="J603" s="4"/>
      <c r="K603" s="1" t="s">
        <v>55</v>
      </c>
      <c r="L603" s="1"/>
      <c r="M603" s="1"/>
      <c r="N603" s="1"/>
      <c r="O603" s="1"/>
      <c r="P603" s="1"/>
      <c r="Q603" s="1"/>
      <c r="R603" s="1"/>
      <c r="S603" s="1"/>
    </row>
    <row r="604" spans="1:19" ht="23" customHeight="1">
      <c r="A604" s="1" t="s">
        <v>661</v>
      </c>
      <c r="B604" s="4">
        <v>46037</v>
      </c>
      <c r="C604" s="1" t="s">
        <v>18</v>
      </c>
      <c r="D604" s="1" t="s">
        <v>71</v>
      </c>
      <c r="E604" s="5">
        <v>23000</v>
      </c>
      <c r="F604" s="1">
        <v>0</v>
      </c>
      <c r="G604" s="4">
        <v>46038</v>
      </c>
      <c r="H604" s="4">
        <v>46043</v>
      </c>
      <c r="I604" s="4">
        <v>46046</v>
      </c>
      <c r="J604" s="4"/>
      <c r="K604" s="1" t="s">
        <v>63</v>
      </c>
      <c r="L604" s="1"/>
      <c r="M604" s="1"/>
      <c r="N604" s="1"/>
      <c r="O604" s="1"/>
      <c r="P604" s="1"/>
      <c r="Q604" s="1"/>
      <c r="R604" s="1"/>
      <c r="S604" s="1"/>
    </row>
    <row r="605" spans="1:19" ht="23" customHeight="1">
      <c r="A605" s="1" t="s">
        <v>102</v>
      </c>
      <c r="B605" s="4">
        <v>46039</v>
      </c>
      <c r="C605" s="1" t="s">
        <v>19</v>
      </c>
      <c r="D605" s="1" t="s">
        <v>54</v>
      </c>
      <c r="E605" s="5">
        <v>33000</v>
      </c>
      <c r="F605" s="1">
        <v>0</v>
      </c>
      <c r="G605" s="4">
        <v>46040</v>
      </c>
      <c r="H605" s="4">
        <v>46044</v>
      </c>
      <c r="I605" s="4">
        <v>46047</v>
      </c>
      <c r="J605" s="4"/>
      <c r="K605" s="1" t="s">
        <v>63</v>
      </c>
      <c r="L605" s="1"/>
      <c r="M605" s="1"/>
      <c r="N605" s="1"/>
      <c r="O605" s="1"/>
      <c r="P605" s="1"/>
      <c r="Q605" s="1"/>
      <c r="R605" s="1"/>
      <c r="S605" s="1"/>
    </row>
    <row r="606" spans="1:19" ht="23" customHeight="1">
      <c r="A606" s="1" t="s">
        <v>103</v>
      </c>
      <c r="B606" s="4">
        <v>46061</v>
      </c>
      <c r="C606" s="1" t="s">
        <v>18</v>
      </c>
      <c r="D606" s="1" t="s">
        <v>59</v>
      </c>
      <c r="E606" s="5">
        <v>45000</v>
      </c>
      <c r="F606" s="1">
        <v>1</v>
      </c>
      <c r="G606" s="4">
        <v>46068</v>
      </c>
      <c r="H606" s="4">
        <v>46070</v>
      </c>
      <c r="I606" s="4">
        <v>46073</v>
      </c>
      <c r="J606" s="4"/>
      <c r="K606" s="1" t="s">
        <v>55</v>
      </c>
      <c r="L606" s="1"/>
      <c r="M606" s="1"/>
      <c r="N606" s="1"/>
      <c r="O606" s="1"/>
      <c r="P606" s="1"/>
      <c r="Q606" s="1"/>
      <c r="R606" s="1"/>
      <c r="S606" s="1"/>
    </row>
    <row r="607" spans="1:19" ht="23" customHeight="1">
      <c r="A607" s="1" t="s">
        <v>104</v>
      </c>
      <c r="B607" s="4">
        <v>46055</v>
      </c>
      <c r="C607" s="1" t="s">
        <v>19</v>
      </c>
      <c r="D607" s="1" t="s">
        <v>54</v>
      </c>
      <c r="E607" s="5">
        <v>31000</v>
      </c>
      <c r="F607" s="1">
        <v>0</v>
      </c>
      <c r="G607" s="4">
        <v>46057</v>
      </c>
      <c r="H607" s="4">
        <v>46063</v>
      </c>
      <c r="I607" s="4">
        <v>46064</v>
      </c>
      <c r="J607" s="4"/>
      <c r="K607" s="1" t="s">
        <v>55</v>
      </c>
      <c r="L607" s="1"/>
      <c r="M607" s="1"/>
      <c r="N607" s="1"/>
      <c r="O607" s="1"/>
      <c r="P607" s="1"/>
      <c r="Q607" s="1"/>
      <c r="R607" s="1"/>
      <c r="S607" s="1"/>
    </row>
    <row r="608" spans="1:19" ht="23" customHeight="1">
      <c r="A608" s="1" t="s">
        <v>105</v>
      </c>
      <c r="B608" s="4">
        <v>46108</v>
      </c>
      <c r="C608" s="1" t="s">
        <v>18</v>
      </c>
      <c r="D608" s="1" t="s">
        <v>62</v>
      </c>
      <c r="E608" s="5">
        <v>29000</v>
      </c>
      <c r="F608" s="1">
        <v>0</v>
      </c>
      <c r="G608" s="4">
        <v>46108</v>
      </c>
      <c r="H608" s="4">
        <v>46111</v>
      </c>
      <c r="I608" s="4">
        <v>46112</v>
      </c>
      <c r="J608" s="4"/>
      <c r="K608" s="1" t="s">
        <v>55</v>
      </c>
      <c r="L608" s="1"/>
      <c r="M608" s="1"/>
      <c r="N608" s="1"/>
      <c r="O608" s="1"/>
      <c r="P608" s="1"/>
      <c r="Q608" s="1"/>
      <c r="R608" s="1"/>
      <c r="S608" s="1"/>
    </row>
    <row r="609" spans="1:19" ht="23" customHeight="1">
      <c r="A609" s="1" t="s">
        <v>106</v>
      </c>
      <c r="B609" s="4">
        <v>46056</v>
      </c>
      <c r="C609" s="1" t="s">
        <v>18</v>
      </c>
      <c r="D609" s="1" t="s">
        <v>59</v>
      </c>
      <c r="E609" s="5">
        <v>19000</v>
      </c>
      <c r="F609" s="1">
        <v>0</v>
      </c>
      <c r="G609" s="4">
        <v>46057</v>
      </c>
      <c r="H609" s="4">
        <v>46062</v>
      </c>
      <c r="I609" s="4">
        <v>46064</v>
      </c>
      <c r="J609" s="4"/>
      <c r="K609" s="1" t="s">
        <v>55</v>
      </c>
      <c r="L609" s="1"/>
      <c r="M609" s="1"/>
      <c r="N609" s="1"/>
      <c r="O609" s="1"/>
      <c r="P609" s="1"/>
      <c r="Q609" s="1"/>
      <c r="R609" s="1"/>
      <c r="S609" s="1"/>
    </row>
    <row r="610" spans="1:19" ht="23" customHeight="1">
      <c r="A610" s="1" t="s">
        <v>107</v>
      </c>
      <c r="B610" s="4">
        <v>46070</v>
      </c>
      <c r="C610" s="1" t="s">
        <v>19</v>
      </c>
      <c r="D610" s="1" t="s">
        <v>54</v>
      </c>
      <c r="E610" s="5">
        <v>26000</v>
      </c>
      <c r="F610" s="1">
        <v>0</v>
      </c>
      <c r="G610" s="4">
        <v>46072</v>
      </c>
      <c r="H610" s="4">
        <v>46076</v>
      </c>
      <c r="I610" s="4">
        <v>46077</v>
      </c>
      <c r="J610" s="4"/>
      <c r="K610" s="1" t="s">
        <v>63</v>
      </c>
      <c r="L610" s="1"/>
      <c r="M610" s="1"/>
      <c r="N610" s="1"/>
      <c r="O610" s="1"/>
      <c r="P610" s="1"/>
      <c r="Q610" s="1"/>
      <c r="R610" s="1"/>
      <c r="S610" s="1"/>
    </row>
    <row r="611" spans="1:19" ht="23" customHeight="1">
      <c r="A611" s="1" t="s">
        <v>108</v>
      </c>
      <c r="B611" s="4">
        <v>46053</v>
      </c>
      <c r="C611" s="1" t="s">
        <v>18</v>
      </c>
      <c r="D611" s="1" t="s">
        <v>65</v>
      </c>
      <c r="E611" s="5">
        <v>34000</v>
      </c>
      <c r="F611" s="1">
        <v>0</v>
      </c>
      <c r="G611" s="4">
        <v>46054</v>
      </c>
      <c r="H611" s="4">
        <v>46055</v>
      </c>
      <c r="I611" s="4">
        <v>46058</v>
      </c>
      <c r="J611" s="4"/>
      <c r="K611" s="1" t="s">
        <v>55</v>
      </c>
      <c r="L611" s="1"/>
      <c r="M611" s="1"/>
      <c r="N611" s="1"/>
      <c r="O611" s="1"/>
      <c r="P611" s="1"/>
      <c r="Q611" s="1"/>
      <c r="R611" s="1"/>
      <c r="S611" s="1"/>
    </row>
    <row r="612" spans="1:19" ht="23" customHeight="1">
      <c r="A612" s="1" t="s">
        <v>109</v>
      </c>
      <c r="B612" s="4">
        <v>46111</v>
      </c>
      <c r="C612" s="1" t="s">
        <v>19</v>
      </c>
      <c r="D612" s="1" t="s">
        <v>54</v>
      </c>
      <c r="E612" s="5">
        <v>17000</v>
      </c>
      <c r="F612" s="1">
        <v>0</v>
      </c>
      <c r="G612" s="4">
        <v>46112</v>
      </c>
      <c r="H612" s="4"/>
      <c r="I612" s="4"/>
      <c r="J612" s="4"/>
      <c r="K612" s="1" t="s">
        <v>69</v>
      </c>
      <c r="L612" s="1"/>
      <c r="M612" s="1"/>
      <c r="N612" s="1"/>
      <c r="O612" s="1"/>
      <c r="P612" s="1"/>
      <c r="Q612" s="1"/>
      <c r="R612" s="1"/>
      <c r="S612" s="1"/>
    </row>
    <row r="613" spans="1:19" ht="23" customHeight="1">
      <c r="A613" s="1" t="s">
        <v>110</v>
      </c>
      <c r="B613" s="4">
        <v>46068</v>
      </c>
      <c r="C613" s="1" t="s">
        <v>19</v>
      </c>
      <c r="D613" s="1" t="s">
        <v>54</v>
      </c>
      <c r="E613" s="5">
        <v>5000</v>
      </c>
      <c r="F613" s="1">
        <v>0</v>
      </c>
      <c r="G613" s="4">
        <v>46070</v>
      </c>
      <c r="H613" s="4">
        <v>46071</v>
      </c>
      <c r="I613" s="4">
        <v>46073</v>
      </c>
      <c r="J613" s="4"/>
      <c r="K613" s="1" t="s">
        <v>63</v>
      </c>
      <c r="L613" s="1"/>
      <c r="M613" s="1"/>
      <c r="N613" s="1"/>
      <c r="O613" s="1"/>
      <c r="P613" s="1"/>
      <c r="Q613" s="1"/>
      <c r="R613" s="1"/>
      <c r="S613" s="1"/>
    </row>
    <row r="614" spans="1:19" ht="23" customHeight="1">
      <c r="A614" s="1" t="s">
        <v>111</v>
      </c>
      <c r="B614" s="4">
        <v>46025</v>
      </c>
      <c r="C614" s="1" t="s">
        <v>19</v>
      </c>
      <c r="D614" s="1" t="s">
        <v>54</v>
      </c>
      <c r="E614" s="5">
        <v>40000</v>
      </c>
      <c r="F614" s="1">
        <v>0</v>
      </c>
      <c r="G614" s="4">
        <v>46025</v>
      </c>
      <c r="H614" s="4">
        <v>46027</v>
      </c>
      <c r="I614" s="4">
        <v>46028</v>
      </c>
      <c r="J614" s="4"/>
      <c r="K614" s="1" t="s">
        <v>55</v>
      </c>
      <c r="L614" s="1"/>
      <c r="M614" s="1"/>
      <c r="N614" s="1"/>
      <c r="O614" s="1"/>
      <c r="P614" s="1"/>
      <c r="Q614" s="1"/>
      <c r="R614" s="1"/>
      <c r="S614" s="1"/>
    </row>
    <row r="615" spans="1:19" ht="23" customHeight="1">
      <c r="A615" s="1" t="s">
        <v>112</v>
      </c>
      <c r="B615" s="4">
        <v>46044</v>
      </c>
      <c r="C615" s="1" t="s">
        <v>19</v>
      </c>
      <c r="D615" s="1" t="s">
        <v>54</v>
      </c>
      <c r="E615" s="5">
        <v>18000</v>
      </c>
      <c r="F615" s="1">
        <v>0</v>
      </c>
      <c r="G615" s="4">
        <v>46045</v>
      </c>
      <c r="H615" s="4">
        <v>46051</v>
      </c>
      <c r="I615" s="4">
        <v>46052</v>
      </c>
      <c r="J615" s="4"/>
      <c r="K615" s="1" t="s">
        <v>55</v>
      </c>
      <c r="L615" s="1"/>
      <c r="M615" s="1"/>
      <c r="N615" s="1"/>
      <c r="O615" s="1"/>
      <c r="P615" s="1"/>
      <c r="Q615" s="1"/>
      <c r="R615" s="1"/>
      <c r="S615" s="1"/>
    </row>
    <row r="616" spans="1:19" ht="23" customHeight="1">
      <c r="A616" s="1" t="s">
        <v>113</v>
      </c>
      <c r="B616" s="4">
        <v>46054</v>
      </c>
      <c r="C616" s="1" t="s">
        <v>19</v>
      </c>
      <c r="D616" s="1" t="s">
        <v>54</v>
      </c>
      <c r="E616" s="5">
        <v>22000</v>
      </c>
      <c r="F616" s="1">
        <v>0</v>
      </c>
      <c r="G616" s="4">
        <v>46055</v>
      </c>
      <c r="H616" s="4">
        <v>46058</v>
      </c>
      <c r="I616" s="4">
        <v>46059</v>
      </c>
      <c r="J616" s="4"/>
      <c r="K616" s="1" t="s">
        <v>63</v>
      </c>
      <c r="L616" s="1"/>
      <c r="M616" s="1"/>
      <c r="N616" s="1"/>
      <c r="O616" s="1"/>
      <c r="P616" s="1"/>
      <c r="Q616" s="1"/>
      <c r="R616" s="1"/>
      <c r="S616" s="1"/>
    </row>
    <row r="617" spans="1:19" ht="23" customHeight="1">
      <c r="A617" s="1"/>
      <c r="B617" s="1"/>
      <c r="C617" s="1"/>
      <c r="D617" s="1"/>
      <c r="E617" s="1"/>
      <c r="F617" s="1"/>
      <c r="G617" s="1"/>
      <c r="H617" s="1"/>
      <c r="I617" s="1"/>
      <c r="J617" s="1"/>
      <c r="K617" s="1"/>
      <c r="L617" s="1"/>
      <c r="M617" s="1"/>
      <c r="N617" s="1"/>
      <c r="O617" s="1"/>
      <c r="P617" s="1"/>
      <c r="Q617" s="1"/>
      <c r="R617" s="1"/>
      <c r="S617" s="1"/>
    </row>
    <row r="618" spans="1:19" ht="23" customHeight="1">
      <c r="A618" s="1"/>
      <c r="B618" s="1"/>
      <c r="C618" s="1"/>
      <c r="D618" s="1"/>
      <c r="E618" s="1"/>
      <c r="F618" s="1"/>
      <c r="G618" s="1"/>
      <c r="H618" s="1"/>
      <c r="I618" s="1"/>
      <c r="J618" s="1"/>
      <c r="K618" s="1"/>
      <c r="L618" s="1"/>
      <c r="M618" s="1"/>
      <c r="N618" s="1"/>
      <c r="O618" s="1"/>
      <c r="P618" s="1"/>
      <c r="Q618" s="1"/>
      <c r="R618" s="1"/>
      <c r="S618" s="1"/>
    </row>
    <row r="619" spans="1:19" ht="23" customHeight="1">
      <c r="A619" s="1"/>
      <c r="B619" s="1"/>
      <c r="C619" s="1"/>
      <c r="D619" s="1"/>
      <c r="E619" s="1"/>
      <c r="F619" s="1"/>
      <c r="G619" s="1"/>
      <c r="H619" s="1"/>
      <c r="I619" s="1"/>
      <c r="J619" s="1"/>
      <c r="K619" s="1"/>
      <c r="L619" s="1"/>
      <c r="M619" s="1"/>
      <c r="N619" s="1"/>
      <c r="O619" s="1"/>
      <c r="P619" s="1"/>
      <c r="Q619" s="1"/>
      <c r="R619" s="1"/>
      <c r="S619" s="1"/>
    </row>
    <row r="620" spans="1:19" ht="23" customHeight="1">
      <c r="A620" s="1"/>
      <c r="B620" s="1"/>
      <c r="C620" s="1"/>
      <c r="D620" s="1"/>
      <c r="E620" s="1"/>
      <c r="F620" s="1"/>
      <c r="G620" s="1"/>
      <c r="H620" s="1"/>
      <c r="I620" s="1"/>
      <c r="J620" s="1"/>
      <c r="K620" s="1"/>
      <c r="L620" s="1"/>
      <c r="M620" s="1"/>
      <c r="N620" s="1"/>
      <c r="O620" s="1"/>
      <c r="P620" s="1"/>
      <c r="Q620" s="1"/>
      <c r="R620" s="1"/>
      <c r="S620" s="1"/>
    </row>
  </sheetData>
  <mergeCells count="1">
    <mergeCell ref="A2:K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showGridLines="0" workbookViewId="0">
      <pane ySplit="2" topLeftCell="A3" activePane="bottomLeft" state="frozen"/>
      <selection pane="bottomLeft"/>
    </sheetView>
  </sheetViews>
  <sheetFormatPr defaultRowHeight="13.5"/>
  <cols>
    <col min="1" max="1" width="28" customWidth="1"/>
    <col min="2" max="2" width="53" customWidth="1"/>
    <col min="3" max="3" width="20" customWidth="1"/>
    <col min="4" max="4" width="39" customWidth="1"/>
  </cols>
  <sheetData>
    <row r="1" spans="1:4" ht="23" customHeight="1">
      <c r="A1" s="1"/>
      <c r="B1" s="1"/>
      <c r="C1" s="1"/>
      <c r="D1" s="1"/>
    </row>
    <row r="2" spans="1:4" ht="38" customHeight="1">
      <c r="A2" s="6" t="s">
        <v>665</v>
      </c>
      <c r="B2" s="6" t="s">
        <v>666</v>
      </c>
      <c r="C2" s="6" t="s">
        <v>667</v>
      </c>
      <c r="D2" s="6" t="s">
        <v>668</v>
      </c>
    </row>
    <row r="3" spans="1:4" ht="23" customHeight="1">
      <c r="A3" s="1" t="s">
        <v>34</v>
      </c>
      <c r="B3" s="1" t="s">
        <v>669</v>
      </c>
      <c r="C3" s="1" t="s">
        <v>670</v>
      </c>
      <c r="D3" s="1" t="s">
        <v>671</v>
      </c>
    </row>
    <row r="4" spans="1:4" ht="23" customHeight="1">
      <c r="A4" s="1" t="s">
        <v>35</v>
      </c>
      <c r="B4" s="1" t="s">
        <v>672</v>
      </c>
      <c r="C4" s="1" t="s">
        <v>673</v>
      </c>
      <c r="D4" s="1" t="s">
        <v>671</v>
      </c>
    </row>
    <row r="5" spans="1:4" ht="23" customHeight="1">
      <c r="A5" s="1" t="s">
        <v>36</v>
      </c>
      <c r="B5" s="1" t="s">
        <v>674</v>
      </c>
      <c r="C5" s="1" t="s">
        <v>670</v>
      </c>
      <c r="D5" s="1" t="s">
        <v>671</v>
      </c>
    </row>
    <row r="6" spans="1:4" ht="23" customHeight="1">
      <c r="A6" s="1" t="s">
        <v>37</v>
      </c>
      <c r="B6" s="1" t="s">
        <v>675</v>
      </c>
      <c r="C6" s="1" t="s">
        <v>670</v>
      </c>
      <c r="D6" s="1" t="s">
        <v>671</v>
      </c>
    </row>
    <row r="7" spans="1:4" ht="23" customHeight="1">
      <c r="A7" s="1" t="s">
        <v>38</v>
      </c>
      <c r="B7" s="1" t="s">
        <v>676</v>
      </c>
      <c r="C7" s="1" t="s">
        <v>677</v>
      </c>
      <c r="D7" s="1" t="s">
        <v>678</v>
      </c>
    </row>
    <row r="8" spans="1:4" ht="23" customHeight="1">
      <c r="A8" s="1" t="s">
        <v>39</v>
      </c>
      <c r="B8" s="1" t="s">
        <v>679</v>
      </c>
      <c r="C8" s="1" t="s">
        <v>680</v>
      </c>
      <c r="D8" s="1" t="s">
        <v>681</v>
      </c>
    </row>
    <row r="9" spans="1:4" ht="23" customHeight="1">
      <c r="A9" s="1" t="s">
        <v>40</v>
      </c>
      <c r="B9" s="1" t="s">
        <v>682</v>
      </c>
      <c r="C9" s="1" t="s">
        <v>673</v>
      </c>
      <c r="D9" s="1" t="s">
        <v>683</v>
      </c>
    </row>
    <row r="10" spans="1:4" ht="23" customHeight="1">
      <c r="A10" s="1" t="s">
        <v>41</v>
      </c>
      <c r="B10" s="1" t="s">
        <v>684</v>
      </c>
      <c r="C10" s="1" t="s">
        <v>673</v>
      </c>
      <c r="D10" s="1" t="s">
        <v>683</v>
      </c>
    </row>
    <row r="11" spans="1:4" ht="23" customHeight="1">
      <c r="A11" s="1" t="s">
        <v>42</v>
      </c>
      <c r="B11" s="1" t="s">
        <v>685</v>
      </c>
      <c r="C11" s="1" t="s">
        <v>673</v>
      </c>
      <c r="D11" s="1" t="s">
        <v>686</v>
      </c>
    </row>
    <row r="12" spans="1:4" ht="23" customHeight="1">
      <c r="A12" s="1" t="s">
        <v>43</v>
      </c>
      <c r="B12" s="1" t="s">
        <v>687</v>
      </c>
      <c r="C12" s="1" t="s">
        <v>673</v>
      </c>
      <c r="D12" s="1" t="s">
        <v>688</v>
      </c>
    </row>
    <row r="13" spans="1:4" ht="23" customHeight="1">
      <c r="A13" s="1" t="s">
        <v>44</v>
      </c>
      <c r="B13" s="1" t="s">
        <v>689</v>
      </c>
      <c r="C13" s="1" t="s">
        <v>670</v>
      </c>
      <c r="D13" s="1" t="s">
        <v>671</v>
      </c>
    </row>
    <row r="14" spans="1:4" ht="23" customHeight="1">
      <c r="A14" s="1" t="s">
        <v>45</v>
      </c>
      <c r="B14" s="1" t="s">
        <v>690</v>
      </c>
      <c r="C14" s="1" t="s">
        <v>691</v>
      </c>
      <c r="D14" s="1" t="s">
        <v>692</v>
      </c>
    </row>
    <row r="15" spans="1:4" ht="23" customHeight="1">
      <c r="A15" s="1" t="s">
        <v>46</v>
      </c>
      <c r="B15" s="1" t="s">
        <v>693</v>
      </c>
      <c r="C15" s="1" t="s">
        <v>694</v>
      </c>
      <c r="D15" s="1" t="s">
        <v>695</v>
      </c>
    </row>
    <row r="16" spans="1:4" ht="23" customHeight="1">
      <c r="A16" s="1" t="s">
        <v>47</v>
      </c>
      <c r="B16" s="1" t="s">
        <v>696</v>
      </c>
      <c r="C16" s="1" t="s">
        <v>694</v>
      </c>
      <c r="D16" s="1" t="s">
        <v>695</v>
      </c>
    </row>
    <row r="17" spans="1:4" ht="23" customHeight="1">
      <c r="A17" s="1" t="s">
        <v>48</v>
      </c>
      <c r="B17" s="1" t="s">
        <v>697</v>
      </c>
      <c r="C17" s="1" t="s">
        <v>694</v>
      </c>
      <c r="D17" s="1" t="s">
        <v>695</v>
      </c>
    </row>
    <row r="18" spans="1:4" ht="23" customHeight="1">
      <c r="A18" s="1" t="s">
        <v>49</v>
      </c>
      <c r="B18" s="1" t="s">
        <v>698</v>
      </c>
      <c r="C18" s="1" t="s">
        <v>694</v>
      </c>
      <c r="D18" s="1" t="s">
        <v>695</v>
      </c>
    </row>
    <row r="19" spans="1:4" ht="23" customHeight="1">
      <c r="A19" s="1" t="s">
        <v>50</v>
      </c>
      <c r="B19" s="1" t="s">
        <v>699</v>
      </c>
      <c r="C19" s="1" t="s">
        <v>694</v>
      </c>
      <c r="D19" s="1" t="s">
        <v>700</v>
      </c>
    </row>
    <row r="20" spans="1:4" ht="23" customHeight="1">
      <c r="A20" s="1" t="s">
        <v>51</v>
      </c>
      <c r="B20" s="1" t="s">
        <v>701</v>
      </c>
      <c r="C20" s="1" t="s">
        <v>691</v>
      </c>
      <c r="D20" s="1" t="s">
        <v>702</v>
      </c>
    </row>
    <row r="21" spans="1:4" ht="23" customHeight="1">
      <c r="A21" s="1" t="s">
        <v>52</v>
      </c>
      <c r="B21" s="1" t="s">
        <v>703</v>
      </c>
      <c r="C21" s="1" t="s">
        <v>704</v>
      </c>
      <c r="D21" s="1" t="s">
        <v>671</v>
      </c>
    </row>
    <row r="22" spans="1:4" ht="23" customHeight="1">
      <c r="A22" s="1"/>
      <c r="B22" s="1"/>
      <c r="C22" s="1"/>
      <c r="D22" s="1"/>
    </row>
    <row r="23" spans="1:4" ht="23" customHeight="1">
      <c r="A23" s="1"/>
      <c r="B23" s="1"/>
      <c r="C23" s="1"/>
      <c r="D23" s="1"/>
    </row>
    <row r="24" spans="1:4" ht="23" customHeight="1">
      <c r="A24" s="1"/>
      <c r="B24" s="1"/>
      <c r="C24" s="1"/>
      <c r="D24" s="1"/>
    </row>
    <row r="25" spans="1:4" ht="23" customHeight="1">
      <c r="A25" s="1"/>
      <c r="B25" s="1"/>
      <c r="C25" s="1"/>
      <c r="D25" s="1"/>
    </row>
    <row r="26" spans="1:4" ht="23" customHeight="1">
      <c r="A26" s="1"/>
      <c r="B26" s="1"/>
      <c r="C26" s="1"/>
      <c r="D26" s="1"/>
    </row>
    <row r="27" spans="1:4" ht="23" customHeight="1">
      <c r="A27" s="1"/>
      <c r="B27" s="1"/>
      <c r="C27" s="1"/>
      <c r="D27" s="1"/>
    </row>
    <row r="28" spans="1:4" ht="23" customHeight="1">
      <c r="A28" s="1"/>
      <c r="B28" s="1"/>
      <c r="C28" s="1"/>
      <c r="D28" s="1"/>
    </row>
    <row r="29" spans="1:4" ht="23" customHeight="1">
      <c r="A29" s="1"/>
      <c r="B29" s="1"/>
      <c r="C29" s="1"/>
      <c r="D29" s="1"/>
    </row>
    <row r="30" spans="1:4" ht="23" customHeight="1">
      <c r="A30" s="1"/>
      <c r="B30" s="1"/>
      <c r="C30" s="1"/>
      <c r="D3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2A0D3-6B58-4772-BD48-4F598516A5FA}">
  <dimension ref="A1:E29"/>
  <sheetViews>
    <sheetView topLeftCell="A11" workbookViewId="0">
      <selection activeCell="B29" sqref="B29"/>
    </sheetView>
  </sheetViews>
  <sheetFormatPr defaultRowHeight="13.5"/>
  <cols>
    <col min="1" max="1" width="22.3125" customWidth="1"/>
    <col min="2" max="2" width="22.1875" customWidth="1"/>
    <col min="3" max="3" width="21.0625" bestFit="1" customWidth="1"/>
    <col min="4" max="4" width="16.5" customWidth="1"/>
  </cols>
  <sheetData>
    <row r="1" spans="1:5">
      <c r="A1" t="s">
        <v>705</v>
      </c>
      <c r="B1" s="14" t="s">
        <v>706</v>
      </c>
      <c r="C1" t="s">
        <v>707</v>
      </c>
      <c r="D1" t="s">
        <v>708</v>
      </c>
      <c r="E1" s="14" t="s">
        <v>709</v>
      </c>
    </row>
    <row r="2" spans="1:5">
      <c r="A2">
        <f>Applications!G5-Applications!B5</f>
        <v>2</v>
      </c>
      <c r="B2">
        <f>Applications!H5-Applications!G5</f>
        <v>4</v>
      </c>
      <c r="C2">
        <f>Applications!I5-Applications!H5</f>
        <v>3</v>
      </c>
      <c r="D2">
        <f>Applications!I5-Applications!B5</f>
        <v>9</v>
      </c>
      <c r="E2" t="str">
        <f>IF(SUM(A2:C2)=D2,"Match","Check")</f>
        <v>Match</v>
      </c>
    </row>
    <row r="5" spans="1:5">
      <c r="A5" t="s">
        <v>710</v>
      </c>
      <c r="B5" t="s">
        <v>711</v>
      </c>
      <c r="C5" t="s">
        <v>712</v>
      </c>
      <c r="D5" t="s">
        <v>713</v>
      </c>
    </row>
    <row r="6" spans="1:5">
      <c r="A6" s="15">
        <f>AVERAGE(Applications!N5:N604)</f>
        <v>2.605940594059406</v>
      </c>
      <c r="B6" s="15">
        <f>AVERAGE(Applications!O5:O604)</f>
        <v>3.9207920792079207</v>
      </c>
      <c r="C6" s="15">
        <f>AVERAGE(Applications!P5:P604)</f>
        <v>2.0158415841584159</v>
      </c>
      <c r="D6" s="15">
        <f>AVERAGE(Applications!M5:M604)</f>
        <v>8.5425742574257431</v>
      </c>
    </row>
    <row r="8" spans="1:5">
      <c r="A8" s="14" t="s">
        <v>714</v>
      </c>
    </row>
    <row r="9" spans="1:5">
      <c r="A9" s="15">
        <f>B6/D6</f>
        <v>0.45897079276773295</v>
      </c>
    </row>
    <row r="11" spans="1:5">
      <c r="A11" t="s">
        <v>18</v>
      </c>
      <c r="B11" t="s">
        <v>711</v>
      </c>
      <c r="C11" s="14" t="s">
        <v>715</v>
      </c>
    </row>
    <row r="12" spans="1:5">
      <c r="A12" t="s">
        <v>65</v>
      </c>
      <c r="B12">
        <f>AVERAGEIFS(Applications!$O$5:$O$604,Applications!$D$5:$D$604,A12,Applications!$L$5:$L$604,1)</f>
        <v>3.3846153846153846</v>
      </c>
      <c r="C12">
        <f>COUNTIFS(Applications!$D$5:$D$604,A12,Applications!$L$5:$L$604,1)</f>
        <v>78</v>
      </c>
    </row>
    <row r="13" spans="1:5">
      <c r="A13" t="s">
        <v>71</v>
      </c>
      <c r="B13">
        <f>AVERAGEIFS(Applications!$O$5:$O$604,Applications!$D$5:$D$604,A13,Applications!$L$5:$L$604,1)</f>
        <v>3.2950819672131146</v>
      </c>
      <c r="C13">
        <f>COUNTIFS(Applications!$D$5:$D$604,A13,Applications!$L$5:$L$604,1)</f>
        <v>61</v>
      </c>
    </row>
    <row r="14" spans="1:5">
      <c r="A14" t="s">
        <v>62</v>
      </c>
      <c r="B14">
        <f>AVERAGEIFS(Applications!$O$5:$O$604,Applications!$D$5:$D$604,A14,Applications!$L$5:$L$604,1)</f>
        <v>5.6805555555555554</v>
      </c>
      <c r="C14">
        <f>COUNTIFS(Applications!$D$5:$D$604,A14,Applications!$L$5:$L$604,1)</f>
        <v>72</v>
      </c>
    </row>
    <row r="15" spans="1:5">
      <c r="A15" t="s">
        <v>59</v>
      </c>
      <c r="B15">
        <f>AVERAGEIFS(Applications!$O$5:$O$604,Applications!$D$5:$D$604,A15,Applications!$L$5:$L$604,1)</f>
        <v>4.0857142857142854</v>
      </c>
      <c r="C15">
        <f>COUNTIFS(Applications!$D$5:$D$604,A15,Applications!$L$5:$L$604,1)</f>
        <v>70</v>
      </c>
    </row>
    <row r="18" spans="1:3">
      <c r="A18" s="14" t="s">
        <v>11</v>
      </c>
      <c r="B18" s="14" t="s">
        <v>716</v>
      </c>
      <c r="C18" s="14" t="s">
        <v>715</v>
      </c>
    </row>
    <row r="19" spans="1:3">
      <c r="A19">
        <v>0</v>
      </c>
      <c r="B19">
        <f>AVERAGEIFS(Applications!$M$5:$M$604,Applications!$F$5:$F$604,A19,Applications!$L$5:$L$604,1)</f>
        <v>6.9660056657223794</v>
      </c>
      <c r="C19">
        <f>COUNTIFS(Applications!$F$5:$F$604,A19,Applications!$L$5:$L$604,1)</f>
        <v>353</v>
      </c>
    </row>
    <row r="20" spans="1:3">
      <c r="A20">
        <v>1</v>
      </c>
      <c r="B20">
        <f>AVERAGEIFS(Applications!$M$5:$M$604,Applications!$F$5:$F$604,A20,Applications!$L$5:$L$604,1)</f>
        <v>12.203947368421053</v>
      </c>
      <c r="C20">
        <f>COUNTIFS(Applications!$F$5:$F$604,A20,Applications!$L$5:$L$604,1)</f>
        <v>152</v>
      </c>
    </row>
    <row r="22" spans="1:3">
      <c r="A22" s="14" t="s">
        <v>717</v>
      </c>
      <c r="B22">
        <f>B20-B19</f>
        <v>5.2379417026986737</v>
      </c>
    </row>
    <row r="24" spans="1:3">
      <c r="A24" t="s">
        <v>724</v>
      </c>
      <c r="B24" s="18">
        <f>COUNTIFS(Applications!$L$5:$L$604,1,Applications!$M$5:$M$604,"&lt;=7")/COUNTIFS(Applications!$L$5:$L$604,1)</f>
        <v>0.4297029702970297</v>
      </c>
    </row>
    <row r="25" spans="1:3">
      <c r="A25" t="s">
        <v>715</v>
      </c>
      <c r="B25">
        <f>COUNTIFS(Applications!$L$5:$L$604,1)</f>
        <v>505</v>
      </c>
    </row>
    <row r="26" spans="1:3">
      <c r="A26" t="s">
        <v>9</v>
      </c>
      <c r="B26">
        <f>COUNTIFS(Applications!$K$5:$K$604,"Open")</f>
        <v>61</v>
      </c>
    </row>
    <row r="27" spans="1:3">
      <c r="A27" t="s">
        <v>10</v>
      </c>
      <c r="B27">
        <f>COUNTIFS(Applications!$K$5:$K$604,"Withdrawn")</f>
        <v>34</v>
      </c>
    </row>
    <row r="28" spans="1:3">
      <c r="A28" t="s">
        <v>725</v>
      </c>
      <c r="B28">
        <f>COUNTIFS(Applications!$K$5:$K$604,"Open",Applications!$Q$5:$Q$604,"&gt;7")</f>
        <v>8</v>
      </c>
    </row>
    <row r="29" spans="1:3">
      <c r="A29" t="s">
        <v>726</v>
      </c>
      <c r="B29" s="18">
        <f>B28/B26</f>
        <v>0.13114754098360656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AE19-9E72-49C7-9564-3278AFCD63CB}">
  <dimension ref="A1:D7"/>
  <sheetViews>
    <sheetView workbookViewId="0">
      <selection activeCell="C6" sqref="C6"/>
    </sheetView>
  </sheetViews>
  <sheetFormatPr defaultRowHeight="13.5"/>
  <cols>
    <col min="1" max="1" width="13.4375" bestFit="1" customWidth="1"/>
    <col min="2" max="2" width="26.5625" customWidth="1"/>
    <col min="3" max="3" width="26.6875" customWidth="1"/>
    <col min="4" max="4" width="24.5625" bestFit="1" customWidth="1"/>
    <col min="5" max="5" width="24.625" customWidth="1"/>
  </cols>
  <sheetData>
    <row r="1" spans="1:4">
      <c r="A1" s="17" t="s">
        <v>718</v>
      </c>
      <c r="B1" s="16" t="s">
        <v>719</v>
      </c>
      <c r="C1" s="16" t="s">
        <v>743</v>
      </c>
      <c r="D1" s="16" t="s">
        <v>744</v>
      </c>
    </row>
    <row r="2" spans="1:4" ht="67.5">
      <c r="A2" s="16" t="s">
        <v>720</v>
      </c>
      <c r="B2" s="16" t="s">
        <v>721</v>
      </c>
      <c r="C2" s="16" t="s">
        <v>722</v>
      </c>
      <c r="D2" s="16" t="s">
        <v>723</v>
      </c>
    </row>
    <row r="3" spans="1:4" ht="108">
      <c r="A3" s="16" t="s">
        <v>745</v>
      </c>
      <c r="B3" s="16" t="s">
        <v>746</v>
      </c>
      <c r="C3" s="16" t="s">
        <v>752</v>
      </c>
      <c r="D3" s="16" t="s">
        <v>747</v>
      </c>
    </row>
    <row r="4" spans="1:4" ht="81">
      <c r="A4" s="16" t="s">
        <v>748</v>
      </c>
      <c r="B4" s="16" t="s">
        <v>749</v>
      </c>
      <c r="C4" s="16" t="s">
        <v>750</v>
      </c>
      <c r="D4" s="16" t="s">
        <v>751</v>
      </c>
    </row>
    <row r="5" spans="1:4">
      <c r="A5" s="16"/>
      <c r="B5" s="16"/>
      <c r="C5" s="16"/>
      <c r="D5" s="16"/>
    </row>
    <row r="6" spans="1:4">
      <c r="A6" s="16"/>
      <c r="B6" s="16"/>
      <c r="C6" s="16"/>
      <c r="D6" s="16"/>
    </row>
    <row r="7" spans="1:4">
      <c r="A7" s="16"/>
      <c r="B7" s="16"/>
      <c r="C7" s="16"/>
      <c r="D7"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F8C5-5C74-4569-9E0E-B0C671AED6A6}">
  <dimension ref="A1:E8"/>
  <sheetViews>
    <sheetView zoomScale="79" workbookViewId="0">
      <selection activeCell="F4" sqref="F4"/>
    </sheetView>
  </sheetViews>
  <sheetFormatPr defaultRowHeight="13.5"/>
  <cols>
    <col min="1" max="5" width="20.5625" customWidth="1"/>
  </cols>
  <sheetData>
    <row r="1" spans="1:5">
      <c r="A1" s="16" t="s">
        <v>753</v>
      </c>
      <c r="B1" s="16" t="s">
        <v>718</v>
      </c>
      <c r="C1" s="16" t="s">
        <v>754</v>
      </c>
      <c r="D1" s="16" t="s">
        <v>755</v>
      </c>
      <c r="E1" s="16" t="s">
        <v>756</v>
      </c>
    </row>
    <row r="2" spans="1:5" ht="67.5">
      <c r="A2" s="16" t="s">
        <v>757</v>
      </c>
      <c r="B2" s="16" t="s">
        <v>720</v>
      </c>
      <c r="C2" s="16" t="s">
        <v>758</v>
      </c>
      <c r="D2" s="16" t="s">
        <v>759</v>
      </c>
      <c r="E2" s="16" t="s">
        <v>760</v>
      </c>
    </row>
    <row r="3" spans="1:5" ht="54">
      <c r="A3" s="16" t="s">
        <v>761</v>
      </c>
      <c r="B3" s="16" t="s">
        <v>720</v>
      </c>
      <c r="C3" s="16" t="s">
        <v>762</v>
      </c>
      <c r="D3" s="16" t="s">
        <v>763</v>
      </c>
      <c r="E3" s="16" t="s">
        <v>760</v>
      </c>
    </row>
    <row r="4" spans="1:5" ht="54">
      <c r="A4" s="16" t="s">
        <v>764</v>
      </c>
      <c r="B4" s="16" t="s">
        <v>745</v>
      </c>
      <c r="C4" s="16" t="s">
        <v>765</v>
      </c>
      <c r="D4" s="16" t="s">
        <v>766</v>
      </c>
      <c r="E4" s="16" t="s">
        <v>760</v>
      </c>
    </row>
    <row r="5" spans="1:5" ht="67.5">
      <c r="A5" s="16" t="s">
        <v>767</v>
      </c>
      <c r="B5" s="16" t="s">
        <v>745</v>
      </c>
      <c r="C5" s="16" t="s">
        <v>768</v>
      </c>
      <c r="D5" s="16" t="s">
        <v>769</v>
      </c>
      <c r="E5" s="16" t="s">
        <v>760</v>
      </c>
    </row>
    <row r="6" spans="1:5" ht="54">
      <c r="A6" s="16" t="s">
        <v>770</v>
      </c>
      <c r="B6" s="16" t="s">
        <v>748</v>
      </c>
      <c r="C6" s="16" t="s">
        <v>771</v>
      </c>
      <c r="D6" s="16" t="s">
        <v>772</v>
      </c>
      <c r="E6" s="16" t="s">
        <v>760</v>
      </c>
    </row>
    <row r="7" spans="1:5" ht="40.5">
      <c r="A7" s="16" t="s">
        <v>773</v>
      </c>
      <c r="B7" s="16" t="s">
        <v>748</v>
      </c>
      <c r="C7" s="16" t="s">
        <v>774</v>
      </c>
      <c r="D7" s="16" t="s">
        <v>775</v>
      </c>
      <c r="E7" s="16" t="s">
        <v>760</v>
      </c>
    </row>
    <row r="8" spans="1:5" ht="67.5">
      <c r="A8" s="16" t="s">
        <v>776</v>
      </c>
      <c r="B8" s="16" t="s">
        <v>748</v>
      </c>
      <c r="C8" s="16" t="s">
        <v>777</v>
      </c>
      <c r="D8" s="16" t="s">
        <v>778</v>
      </c>
      <c r="E8" s="16" t="s">
        <v>760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155D-05F5-4918-8AF8-E5AABCA49BB8}">
  <dimension ref="A1:E4"/>
  <sheetViews>
    <sheetView workbookViewId="0">
      <selection activeCell="E8" sqref="E8"/>
    </sheetView>
  </sheetViews>
  <sheetFormatPr defaultRowHeight="13.5"/>
  <cols>
    <col min="1" max="1" width="25.4375" bestFit="1" customWidth="1"/>
    <col min="2" max="2" width="25.5625" customWidth="1"/>
    <col min="3" max="3" width="13.4375" bestFit="1" customWidth="1"/>
    <col min="4" max="4" width="24.375" bestFit="1" customWidth="1"/>
    <col min="5" max="5" width="19.875" bestFit="1" customWidth="1"/>
  </cols>
  <sheetData>
    <row r="1" spans="1:5" ht="27.75">
      <c r="A1" s="19" t="s">
        <v>779</v>
      </c>
      <c r="B1" s="19" t="s">
        <v>780</v>
      </c>
      <c r="C1" s="19" t="s">
        <v>718</v>
      </c>
      <c r="D1" s="19" t="s">
        <v>781</v>
      </c>
      <c r="E1" s="19" t="s">
        <v>782</v>
      </c>
    </row>
    <row r="2" spans="1:5" ht="54">
      <c r="A2" s="16" t="s">
        <v>732</v>
      </c>
      <c r="B2" s="16" t="s">
        <v>783</v>
      </c>
      <c r="C2" s="16" t="s">
        <v>720</v>
      </c>
      <c r="D2" s="16" t="s">
        <v>784</v>
      </c>
      <c r="E2" s="16" t="s">
        <v>785</v>
      </c>
    </row>
    <row r="3" spans="1:5" ht="40.5">
      <c r="A3" s="16" t="s">
        <v>786</v>
      </c>
      <c r="B3" s="16" t="s">
        <v>787</v>
      </c>
      <c r="C3" s="16" t="s">
        <v>745</v>
      </c>
      <c r="D3" s="16" t="s">
        <v>788</v>
      </c>
      <c r="E3" s="16" t="s">
        <v>789</v>
      </c>
    </row>
    <row r="4" spans="1:5" ht="40.5">
      <c r="A4" s="16" t="s">
        <v>790</v>
      </c>
      <c r="B4" s="16" t="s">
        <v>791</v>
      </c>
      <c r="C4" s="16" t="s">
        <v>748</v>
      </c>
      <c r="D4" s="16" t="s">
        <v>792</v>
      </c>
      <c r="E4" s="16" t="s">
        <v>793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3210-3627-43E3-9690-B0A2256A27A3}">
  <dimension ref="A1"/>
  <sheetViews>
    <sheetView workbookViewId="0">
      <selection activeCell="L9" sqref="L9"/>
    </sheetView>
  </sheetViews>
  <sheetFormatPr defaultRowHeight="1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42E40-F14E-44A6-9ECC-143E932C3C6B}">
  <dimension ref="A1:D11"/>
  <sheetViews>
    <sheetView tabSelected="1" workbookViewId="0">
      <selection activeCell="C9" sqref="C9"/>
    </sheetView>
  </sheetViews>
  <sheetFormatPr defaultRowHeight="13.5"/>
  <cols>
    <col min="1" max="1" width="29.125" bestFit="1" customWidth="1"/>
    <col min="2" max="2" width="7.6875" bestFit="1" customWidth="1"/>
    <col min="3" max="3" width="16" bestFit="1" customWidth="1"/>
    <col min="4" max="4" width="45.9375" bestFit="1" customWidth="1"/>
  </cols>
  <sheetData>
    <row r="1" spans="1:4" ht="27.75">
      <c r="A1" s="19" t="s">
        <v>794</v>
      </c>
      <c r="B1" s="19" t="s">
        <v>6</v>
      </c>
      <c r="C1" s="19" t="s">
        <v>795</v>
      </c>
      <c r="D1" s="19" t="s">
        <v>796</v>
      </c>
    </row>
    <row r="2" spans="1:4" ht="40.5">
      <c r="A2" s="16" t="s">
        <v>797</v>
      </c>
      <c r="B2" s="16" t="s">
        <v>798</v>
      </c>
      <c r="C2" s="16" t="s">
        <v>799</v>
      </c>
      <c r="D2" s="16" t="s">
        <v>800</v>
      </c>
    </row>
    <row r="3" spans="1:4" ht="40.5">
      <c r="A3" s="16" t="s">
        <v>801</v>
      </c>
      <c r="B3" s="16" t="s">
        <v>802</v>
      </c>
      <c r="C3" s="16" t="s">
        <v>803</v>
      </c>
      <c r="D3" s="16" t="s">
        <v>804</v>
      </c>
    </row>
    <row r="4" spans="1:4" ht="27">
      <c r="A4" s="16" t="s">
        <v>805</v>
      </c>
      <c r="B4" s="20">
        <v>0.34799999999999998</v>
      </c>
      <c r="C4" s="16" t="s">
        <v>806</v>
      </c>
      <c r="D4" s="16" t="s">
        <v>807</v>
      </c>
    </row>
    <row r="5" spans="1:4" ht="40.5">
      <c r="A5" s="16" t="s">
        <v>808</v>
      </c>
      <c r="B5" s="20">
        <v>0.43</v>
      </c>
      <c r="C5" s="16" t="s">
        <v>809</v>
      </c>
      <c r="D5" s="16" t="s">
        <v>810</v>
      </c>
    </row>
    <row r="7" spans="1:4" ht="108">
      <c r="A7" s="16" t="s">
        <v>811</v>
      </c>
    </row>
    <row r="8" spans="1:4">
      <c r="A8" s="16"/>
    </row>
    <row r="9" spans="1:4" ht="54">
      <c r="A9" s="16" t="s">
        <v>812</v>
      </c>
    </row>
    <row r="10" spans="1:4">
      <c r="A10" s="16"/>
    </row>
    <row r="11" spans="1:4" ht="67.5">
      <c r="A11" s="16" t="s">
        <v>813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Cleaning_Practice</vt:lpstr>
      <vt:lpstr>Gap_Analysis</vt:lpstr>
      <vt:lpstr>Summary</vt:lpstr>
      <vt:lpstr>Applications</vt:lpstr>
      <vt:lpstr>Raw</vt:lpstr>
      <vt:lpstr>Dictionary</vt:lpstr>
      <vt:lpstr>Practice</vt:lpstr>
      <vt:lpstr>Requirements</vt:lpstr>
      <vt:lpstr>UAT_Plan</vt:lpstr>
      <vt:lpstr>Traceability</vt:lpstr>
      <vt:lpstr>Proposed_Process</vt:lpstr>
      <vt:lpstr>KPI_Plan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Hassaan Hamidi</cp:lastModifiedBy>
  <dcterms:modified xsi:type="dcterms:W3CDTF">2026-10-21T16:59:19Z</dcterms:modified>
</cp:coreProperties>
</file>